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hanika.S\OneDrive\Tài liệu\"/>
    </mc:Choice>
  </mc:AlternateContent>
  <xr:revisionPtr revIDLastSave="0" documentId="13_ncr:1_{4112C49A-E500-4E9E-AD63-8A63B362601B}" xr6:coauthVersionLast="47" xr6:coauthVersionMax="47" xr10:uidLastSave="{00000000-0000-0000-0000-000000000000}"/>
  <bookViews>
    <workbookView xWindow="-110" yWindow="-110" windowWidth="19420" windowHeight="10300" activeTab="2" xr2:uid="{0B430BDA-29B6-497B-9C5F-283FD4A983C1}"/>
  </bookViews>
  <sheets>
    <sheet name="Sheet1" sheetId="1" r:id="rId1"/>
    <sheet name="Sheet2" sheetId="2" r:id="rId2"/>
    <sheet name="PCA" sheetId="3" r:id="rId3"/>
    <sheet name="XLSTAT_20260730_142236_1_HID1" sheetId="5" state="hidden" r:id="rId4"/>
    <sheet name="XLSTAT_20260730_142236_1_HID" sheetId="4" state="hidden" r:id="rId5"/>
  </sheets>
  <externalReferences>
    <externalReference r:id="rId6"/>
  </externalReferences>
  <definedNames>
    <definedName name="tab20260730_142236_RunProcPCA_1_2982" localSheetId="2" hidden="1">PCA!$B$89:$G$95</definedName>
    <definedName name="tab20260730_142236_RunProcPCA_1_2983" localSheetId="2" hidden="1">PCA!$B$189:$G$218</definedName>
    <definedName name="tab20260730_142236_RunProcPCA_1_2984" localSheetId="2" hidden="1">PCA!$B$100:$G$106</definedName>
    <definedName name="tab20260730_142236_RunProcPCA_1_75" localSheetId="2" hidden="1">PCA!$B$67:$G$73</definedName>
    <definedName name="tab20260730_142236_RunProcPCA_1_76" localSheetId="2" hidden="1">PCA!$B$112:$G$141</definedName>
    <definedName name="tab20260730_142236_RunProcPCA_1_86" localSheetId="2" hidden="1">PCA!$B$78:$G$84</definedName>
    <definedName name="tab20260730_142236_RunProcPCA_2_76" localSheetId="2" hidden="1">PCA!$B$253:$G$282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<sst xmlns="http://schemas.openxmlformats.org/spreadsheetml/2006/main" count="280" uniqueCount="115">
  <si>
    <t xml:space="preserve">            </t>
  </si>
  <si>
    <t>Category</t>
  </si>
  <si>
    <t>Region</t>
  </si>
  <si>
    <t>Quantity</t>
  </si>
  <si>
    <t>Discount</t>
  </si>
  <si>
    <t>Furniture</t>
  </si>
  <si>
    <t>South</t>
  </si>
  <si>
    <t>Office Supplies</t>
  </si>
  <si>
    <t>West</t>
  </si>
  <si>
    <t>Technology</t>
  </si>
  <si>
    <t>Central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</si>
  <si>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</si>
  <si>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</si>
  <si>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</si>
  <si>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</si>
  <si>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</si>
  <si>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</si>
  <si>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</si>
  <si>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</si>
  <si>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</si>
  <si>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</si>
  <si>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</si>
  <si>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</si>
  <si>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</si>
  <si>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</si>
  <si>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</si>
  <si>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</si>
  <si>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</si>
  <si>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</si>
  <si>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</si>
  <si>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</si>
  <si>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</si>
  <si>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</si>
  <si>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</si>
  <si>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</si>
  <si>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Net_Domestic</t>
  </si>
  <si>
    <t>Federal_Crimes</t>
  </si>
  <si>
    <t>Migrant_Pop</t>
  </si>
  <si>
    <t>Unemployment</t>
  </si>
  <si>
    <t>Income_Index</t>
  </si>
  <si>
    <t>Poverty_Rate</t>
  </si>
  <si>
    <t>You are using the XLSTAT trial version. Number of days remaining until the trial expires: 15</t>
  </si>
  <si>
    <t>Observations/variables table: Workbook = Book1.xlsx / Sheet = Sheet2 / Range = 'Sheet2'!$A$2:$F$31 / 29 rows and 6 columns</t>
  </si>
  <si>
    <t>PCA type: Correlation</t>
  </si>
  <si>
    <t>Filter factors: Maximum number = 5</t>
  </si>
  <si>
    <t>Standardisation: (n)</t>
  </si>
  <si>
    <t>Type of biplot: Distance biplot / Coefficient = Automatic</t>
  </si>
  <si>
    <t>Summary statistics:</t>
  </si>
  <si>
    <t>Variable</t>
  </si>
  <si>
    <t>Obs. with missing data</t>
  </si>
  <si>
    <t>Obs. without missing data</t>
  </si>
  <si>
    <t>Minimum</t>
  </si>
  <si>
    <t>Maximum</t>
  </si>
  <si>
    <t>Mean</t>
  </si>
  <si>
    <t>Std. deviation</t>
  </si>
  <si>
    <t>82</t>
  </si>
  <si>
    <t>75</t>
  </si>
  <si>
    <t>65</t>
  </si>
  <si>
    <t>22</t>
  </si>
  <si>
    <t>88</t>
  </si>
  <si>
    <t>18</t>
  </si>
  <si>
    <t>Principal Component Analysis:</t>
  </si>
  <si>
    <t>Eigenvalues:</t>
  </si>
  <si>
    <t>F1</t>
  </si>
  <si>
    <t>F2</t>
  </si>
  <si>
    <t>F3</t>
  </si>
  <si>
    <t>F4</t>
  </si>
  <si>
    <t>F5</t>
  </si>
  <si>
    <t>F6</t>
  </si>
  <si>
    <t>Eigenvalue</t>
  </si>
  <si>
    <t>Variability (%)</t>
  </si>
  <si>
    <t>Cumulative %</t>
  </si>
  <si>
    <t xml:space="preserve"> </t>
  </si>
  <si>
    <t>Eigenvectors:</t>
  </si>
  <si>
    <t>Factor loadings:</t>
  </si>
  <si>
    <t>Correlations between variables and factors:</t>
  </si>
  <si>
    <t>Contribution of the variables (%):</t>
  </si>
  <si>
    <t>Squared cosines of the variables:</t>
  </si>
  <si>
    <t>Values in bold correspond for each variable to the factor for which the squared cosine is the largest</t>
  </si>
  <si>
    <t>Factor scores: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</si>
  <si>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</si>
  <si>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</si>
  <si>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</si>
  <si>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</si>
  <si>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</si>
  <si>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</si>
  <si>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</si>
  <si>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</si>
  <si>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</si>
  <si>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</si>
  <si>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Obs11</t>
  </si>
  <si>
    <t>Obs12</t>
  </si>
  <si>
    <t>Obs13</t>
  </si>
  <si>
    <t>Obs14</t>
  </si>
  <si>
    <t>Obs15</t>
  </si>
  <si>
    <t>Obs16</t>
  </si>
  <si>
    <t>Obs17</t>
  </si>
  <si>
    <t>Obs18</t>
  </si>
  <si>
    <t>Obs19</t>
  </si>
  <si>
    <t>Obs20</t>
  </si>
  <si>
    <t>Obs21</t>
  </si>
  <si>
    <t>Obs22</t>
  </si>
  <si>
    <t>Obs23</t>
  </si>
  <si>
    <t>Obs24</t>
  </si>
  <si>
    <t>Obs25</t>
  </si>
  <si>
    <t>Obs26</t>
  </si>
  <si>
    <t>Obs27</t>
  </si>
  <si>
    <t>Obs28</t>
  </si>
  <si>
    <t>Obs29</t>
  </si>
  <si>
    <t>Contribution of the observations (%):</t>
  </si>
  <si>
    <t>Axes homogeneity index:</t>
  </si>
  <si>
    <t>Value</t>
  </si>
  <si>
    <t>Squared cosines of the observations:</t>
  </si>
  <si>
    <t>Values in bold correspond for each observation to the factor for which the squared cosine is the largest</t>
  </si>
  <si>
    <r>
      <t>XLSTAT 2026.1.2.1435 - Principal Component Analysis (PCA) - Start time: 30/07/2026 at 14:23:01 / End time: 30/07/2026 at 14:23:09</t>
    </r>
    <r>
      <rPr>
        <sz val="11"/>
        <color rgb="FFFFFFFF"/>
        <rFont val="Calibri"/>
        <family val="2"/>
        <scheme val="minor"/>
      </rPr>
      <t xml:space="preserve"> / Microsoft Excel 16.020228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</si>
</sst>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1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521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2" fillId="0" borderId="0" xfId="0" applyFont="1"/>
    <xf numFmtId="0" fontId="0" fillId="0" borderId="0" xfId="0" applyFont="1"/>
    <xf numFmtId="49" fontId="0" fillId="0" borderId="0" xfId="0" applyNumberFormat="1" applyFont="1" applyAlignment="1"/>
    <xf numFmtId="49" fontId="5" fillId="0" borderId="0" xfId="0" applyNumberFormat="1" applyFont="1" applyAlignment="1"/>
    <xf numFmtId="0" fontId="0" fillId="0" borderId="3" xfId="0" applyFont="1" applyBorder="1" applyAlignment="1">
      <alignment horizontal="center"/>
    </xf>
    <xf numFmtId="49" fontId="0" fillId="0" borderId="3" xfId="0" applyNumberFormat="1" applyFont="1" applyBorder="1" applyAlignment="1">
      <alignment horizontal="center"/>
    </xf>
    <xf numFmtId="49" fontId="5" fillId="0" borderId="4" xfId="0" applyNumberFormat="1" applyFont="1" applyBorder="1" applyAlignment="1"/>
    <xf numFmtId="49" fontId="5" fillId="0" borderId="1" xfId="0" applyNumberFormat="1" applyFont="1" applyBorder="1" applyAlignment="1"/>
    <xf numFmtId="0" fontId="5" fillId="0" borderId="4" xfId="0" applyNumberFormat="1" applyFont="1" applyBorder="1" applyAlignment="1">
      <alignment horizontal="center"/>
    </xf>
    <xf numFmtId="0" fontId="5" fillId="0" borderId="0" xfId="0" applyNumberFormat="1" applyFont="1" applyAlignment="1">
      <alignment horizontal="center"/>
    </xf>
    <xf numFmtId="0" fontId="5" fillId="0" borderId="1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49" fontId="0" fillId="0" borderId="4" xfId="0" applyNumberFormat="1" applyFont="1" applyBorder="1" applyAlignment="1"/>
    <xf numFmtId="49" fontId="0" fillId="0" borderId="1" xfId="0" applyNumberFormat="1" applyFont="1" applyBorder="1" applyAlignment="1"/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Scree plot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Eigenvalue</c:v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PCA!$C$28:$H$28</c:f>
              <c:strCache>
                <c:ptCount val="6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</c:strCache>
            </c:strRef>
          </c:cat>
          <c:val>
            <c:numRef>
              <c:f>PCA!$C$29:$H$29</c:f>
              <c:numCache>
                <c:formatCode>0.000</c:formatCode>
                <c:ptCount val="6"/>
                <c:pt idx="0">
                  <c:v>5.9546010811874766</c:v>
                </c:pt>
                <c:pt idx="1">
                  <c:v>2.6126542555525458E-2</c:v>
                </c:pt>
                <c:pt idx="2">
                  <c:v>9.9184936179295344E-3</c:v>
                </c:pt>
                <c:pt idx="3">
                  <c:v>4.5396268521845527E-3</c:v>
                </c:pt>
                <c:pt idx="4">
                  <c:v>2.8109024752378409E-3</c:v>
                </c:pt>
                <c:pt idx="5">
                  <c:v>2.0033533116527186E-3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0-4F77-BEB4-BB859E863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23328784"/>
        <c:axId val="1059429296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cat>
            <c:strRef>
              <c:f>PCA!$C$28:$H$28</c:f>
              <c:strCache>
                <c:ptCount val="6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</c:strCache>
            </c:strRef>
          </c:cat>
          <c:val>
            <c:numRef>
              <c:f>PCA!$C$31:$H$31</c:f>
              <c:numCache>
                <c:formatCode>0.000</c:formatCode>
                <c:ptCount val="6"/>
                <c:pt idx="0">
                  <c:v>99.243351353124481</c:v>
                </c:pt>
                <c:pt idx="1">
                  <c:v>99.6787937290499</c:v>
                </c:pt>
                <c:pt idx="2">
                  <c:v>99.844101956015393</c:v>
                </c:pt>
                <c:pt idx="3">
                  <c:v>99.9197624035518</c:v>
                </c:pt>
                <c:pt idx="4">
                  <c:v>99.966610778139099</c:v>
                </c:pt>
                <c:pt idx="5">
                  <c:v>99.999999999999972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F0-4F77-BEB4-BB859E863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322288"/>
        <c:axId val="1059426416"/>
      </c:lineChart>
      <c:catAx>
        <c:axId val="223328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axis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59429296"/>
        <c:crosses val="autoZero"/>
        <c:auto val="1"/>
        <c:lblAlgn val="ctr"/>
        <c:lblOffset val="100"/>
        <c:noMultiLvlLbl val="0"/>
      </c:catAx>
      <c:valAx>
        <c:axId val="105942929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Eigenvalue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23328784"/>
        <c:crosses val="autoZero"/>
        <c:crossBetween val="between"/>
      </c:valAx>
      <c:valAx>
        <c:axId val="1059426416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Cumulative variability (%)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23322288"/>
        <c:crosses val="max"/>
        <c:crossBetween val="between"/>
        <c:majorUnit val="20"/>
      </c:valAx>
      <c:catAx>
        <c:axId val="223322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9426416"/>
        <c:auto val="1"/>
        <c:lblAlgn val="ctr"/>
        <c:lblOffset val="100"/>
        <c:noMultiLvlLbl val="0"/>
      </c:cat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Observations (axes F1 and F2: 99.68 %)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 observations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5433891076115487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E8E-4B0F-9EF7-20CD8B062A77}"/>
                </c:ext>
              </c:extLst>
            </c:dLbl>
            <c:dLbl>
              <c:idx val="1"/>
              <c:layout>
                <c:manualLayout>
                  <c:x val="-1.7361111111111112E-2"/>
                  <c:y val="-3.065134099616860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E8E-4B0F-9EF7-20CD8B062A77}"/>
                </c:ext>
              </c:extLst>
            </c:dLbl>
            <c:dLbl>
              <c:idx val="2"/>
              <c:layout>
                <c:manualLayout>
                  <c:x val="-1.7361111111111174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E8E-4B0F-9EF7-20CD8B062A77}"/>
                </c:ext>
              </c:extLst>
            </c:dLbl>
            <c:dLbl>
              <c:idx val="3"/>
              <c:layout>
                <c:manualLayout>
                  <c:x val="-8.5433891076115515E-2"/>
                  <c:y val="-3.06513409961685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E8E-4B0F-9EF7-20CD8B062A77}"/>
                </c:ext>
              </c:extLst>
            </c:dLbl>
            <c:dLbl>
              <c:idx val="4"/>
              <c:layout>
                <c:manualLayout>
                  <c:x val="-1.7361111111111112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8E-4B0F-9EF7-20CD8B062A77}"/>
                </c:ext>
              </c:extLst>
            </c:dLbl>
            <c:dLbl>
              <c:idx val="5"/>
              <c:layout>
                <c:manualLayout>
                  <c:x val="-8.5433891076115487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E8E-4B0F-9EF7-20CD8B062A77}"/>
                </c:ext>
              </c:extLst>
            </c:dLbl>
            <c:dLbl>
              <c:idx val="6"/>
              <c:layout>
                <c:manualLayout>
                  <c:x val="-8.5433891076115501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8E-4B0F-9EF7-20CD8B062A77}"/>
                </c:ext>
              </c:extLst>
            </c:dLbl>
            <c:dLbl>
              <c:idx val="7"/>
              <c:layout>
                <c:manualLayout>
                  <c:x val="-1.7361111111111174E-2"/>
                  <c:y val="1.724137931034475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E8E-4B0F-9EF7-20CD8B062A77}"/>
                </c:ext>
              </c:extLst>
            </c:dLbl>
            <c:dLbl>
              <c:idx val="8"/>
              <c:layout>
                <c:manualLayout>
                  <c:x val="-1.7361111111111174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E8E-4B0F-9EF7-20CD8B062A77}"/>
                </c:ext>
              </c:extLst>
            </c:dLbl>
            <c:dLbl>
              <c:idx val="9"/>
              <c:layout>
                <c:manualLayout>
                  <c:x val="-9.7760553368328992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1E8E-4B0F-9EF7-20CD8B062A77}"/>
                </c:ext>
              </c:extLst>
            </c:dLbl>
            <c:dLbl>
              <c:idx val="10"/>
              <c:layout>
                <c:manualLayout>
                  <c:x val="-1.7361111111111237E-2"/>
                  <c:y val="-3.06513409961686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1E8E-4B0F-9EF7-20CD8B062A77}"/>
                </c:ext>
              </c:extLst>
            </c:dLbl>
            <c:dLbl>
              <c:idx val="11"/>
              <c:layout>
                <c:manualLayout>
                  <c:x val="-9.7760553368328965E-2"/>
                  <c:y val="1.72413793103446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1E8E-4B0F-9EF7-20CD8B062A77}"/>
                </c:ext>
              </c:extLst>
            </c:dLbl>
            <c:dLbl>
              <c:idx val="12"/>
              <c:layout>
                <c:manualLayout>
                  <c:x val="-9.7760553368328965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1E8E-4B0F-9EF7-20CD8B062A77}"/>
                </c:ext>
              </c:extLst>
            </c:dLbl>
            <c:dLbl>
              <c:idx val="13"/>
              <c:layout>
                <c:manualLayout>
                  <c:x val="-1.7361111111111046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1E8E-4B0F-9EF7-20CD8B062A77}"/>
                </c:ext>
              </c:extLst>
            </c:dLbl>
            <c:dLbl>
              <c:idx val="14"/>
              <c:layout>
                <c:manualLayout>
                  <c:x val="-9.7760553368328937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1E8E-4B0F-9EF7-20CD8B062A77}"/>
                </c:ext>
              </c:extLst>
            </c:dLbl>
            <c:dLbl>
              <c:idx val="15"/>
              <c:layout>
                <c:manualLayout>
                  <c:x val="-1.7361111111111112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1E8E-4B0F-9EF7-20CD8B062A77}"/>
                </c:ext>
              </c:extLst>
            </c:dLbl>
            <c:dLbl>
              <c:idx val="16"/>
              <c:layout>
                <c:manualLayout>
                  <c:x val="-1.7361111111111112E-2"/>
                  <c:y val="-3.06513409961686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1E8E-4B0F-9EF7-20CD8B062A77}"/>
                </c:ext>
              </c:extLst>
            </c:dLbl>
            <c:dLbl>
              <c:idx val="17"/>
              <c:layout>
                <c:manualLayout>
                  <c:x val="-9.7760553368328992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1E8E-4B0F-9EF7-20CD8B062A77}"/>
                </c:ext>
              </c:extLst>
            </c:dLbl>
            <c:dLbl>
              <c:idx val="18"/>
              <c:layout>
                <c:manualLayout>
                  <c:x val="-1.7361111111111112E-2"/>
                  <c:y val="1.724137931034475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1E8E-4B0F-9EF7-20CD8B062A77}"/>
                </c:ext>
              </c:extLst>
            </c:dLbl>
            <c:dLbl>
              <c:idx val="19"/>
              <c:layout>
                <c:manualLayout>
                  <c:x val="-9.7760553368328965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1E8E-4B0F-9EF7-20CD8B062A77}"/>
                </c:ext>
              </c:extLst>
            </c:dLbl>
            <c:dLbl>
              <c:idx val="20"/>
              <c:layout>
                <c:manualLayout>
                  <c:x val="-9.7760553368328965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1E8E-4B0F-9EF7-20CD8B062A77}"/>
                </c:ext>
              </c:extLst>
            </c:dLbl>
            <c:dLbl>
              <c:idx val="21"/>
              <c:layout>
                <c:manualLayout>
                  <c:x val="-1.7361111111111174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1E8E-4B0F-9EF7-20CD8B062A77}"/>
                </c:ext>
              </c:extLst>
            </c:dLbl>
            <c:dLbl>
              <c:idx val="22"/>
              <c:layout>
                <c:manualLayout>
                  <c:x val="-1.7361111111111174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1E8E-4B0F-9EF7-20CD8B062A77}"/>
                </c:ext>
              </c:extLst>
            </c:dLbl>
            <c:dLbl>
              <c:idx val="23"/>
              <c:layout>
                <c:manualLayout>
                  <c:x val="-9.7760553368328965E-2"/>
                  <c:y val="1.724137931034475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1E8E-4B0F-9EF7-20CD8B062A77}"/>
                </c:ext>
              </c:extLst>
            </c:dLbl>
            <c:dLbl>
              <c:idx val="24"/>
              <c:layout>
                <c:manualLayout>
                  <c:x val="-1.7361111111111237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1E8E-4B0F-9EF7-20CD8B062A77}"/>
                </c:ext>
              </c:extLst>
            </c:dLbl>
            <c:dLbl>
              <c:idx val="25"/>
              <c:layout>
                <c:manualLayout>
                  <c:x val="-9.7760553368328965E-2"/>
                  <c:y val="1.72413793103446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1E8E-4B0F-9EF7-20CD8B062A77}"/>
                </c:ext>
              </c:extLst>
            </c:dLbl>
            <c:dLbl>
              <c:idx val="26"/>
              <c:layout>
                <c:manualLayout>
                  <c:x val="-9.7760553368328965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1E8E-4B0F-9EF7-20CD8B062A77}"/>
                </c:ext>
              </c:extLst>
            </c:dLbl>
            <c:dLbl>
              <c:idx val="27"/>
              <c:layout>
                <c:manualLayout>
                  <c:x val="-1.7361111111111112E-2"/>
                  <c:y val="-3.065134099616861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1E8E-4B0F-9EF7-20CD8B062A77}"/>
                </c:ext>
              </c:extLst>
            </c:dLbl>
            <c:dLbl>
              <c:idx val="28"/>
              <c:layout>
                <c:manualLayout>
                  <c:x val="-1.7361111111111174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1E8E-4B0F-9EF7-20CD8B062A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XLSTAT_20260730_142236_1_HID!$A$1:$A$29</c:f>
              <c:numCache>
                <c:formatCode>General</c:formatCode>
                <c:ptCount val="29"/>
                <c:pt idx="0">
                  <c:v>-2.2686060756216011</c:v>
                </c:pt>
                <c:pt idx="1">
                  <c:v>1.9280870655530995</c:v>
                </c:pt>
                <c:pt idx="2">
                  <c:v>0.85089059308301362</c:v>
                </c:pt>
                <c:pt idx="3">
                  <c:v>-3.1262674445555669</c:v>
                </c:pt>
                <c:pt idx="4">
                  <c:v>3.6718074151163944</c:v>
                </c:pt>
                <c:pt idx="5">
                  <c:v>-0.21115900496744042</c:v>
                </c:pt>
                <c:pt idx="6">
                  <c:v>-4.1818684146016682</c:v>
                </c:pt>
                <c:pt idx="7">
                  <c:v>2.2734649600401542</c:v>
                </c:pt>
                <c:pt idx="8">
                  <c:v>0.94529086564530873</c:v>
                </c:pt>
                <c:pt idx="9">
                  <c:v>-1.6597400942470728</c:v>
                </c:pt>
                <c:pt idx="10">
                  <c:v>3.0583215588358073</c:v>
                </c:pt>
                <c:pt idx="11">
                  <c:v>-1.1018378605028256</c:v>
                </c:pt>
                <c:pt idx="12">
                  <c:v>-2.65513756685078</c:v>
                </c:pt>
                <c:pt idx="13">
                  <c:v>1.6936137426048952</c:v>
                </c:pt>
                <c:pt idx="14">
                  <c:v>-3.6239661808574204</c:v>
                </c:pt>
                <c:pt idx="15">
                  <c:v>2.8632810407144142</c:v>
                </c:pt>
                <c:pt idx="16">
                  <c:v>0.28618625006738613</c:v>
                </c:pt>
                <c:pt idx="17">
                  <c:v>-1.6551202193410168</c:v>
                </c:pt>
                <c:pt idx="18">
                  <c:v>3.5560202951376616</c:v>
                </c:pt>
                <c:pt idx="19">
                  <c:v>-0.60449260546799877</c:v>
                </c:pt>
                <c:pt idx="20">
                  <c:v>-3.8455755575758834</c:v>
                </c:pt>
                <c:pt idx="21">
                  <c:v>2.3655823044125599</c:v>
                </c:pt>
                <c:pt idx="22">
                  <c:v>0.17039913008865493</c:v>
                </c:pt>
                <c:pt idx="23">
                  <c:v>-2.0972353331065334</c:v>
                </c:pt>
                <c:pt idx="24">
                  <c:v>4.169506151418247</c:v>
                </c:pt>
                <c:pt idx="25">
                  <c:v>-0.90389825939068902</c:v>
                </c:pt>
                <c:pt idx="26">
                  <c:v>-2.8501780849721747</c:v>
                </c:pt>
                <c:pt idx="27">
                  <c:v>1.8915533437170318</c:v>
                </c:pt>
                <c:pt idx="28">
                  <c:v>1.0610779856240398</c:v>
                </c:pt>
              </c:numCache>
            </c:numRef>
          </c:xVal>
          <c:yVal>
            <c:numRef>
              <c:f>XLSTAT_20260730_142236_1_HID!$B$1:$B$29</c:f>
              <c:numCache>
                <c:formatCode>General</c:formatCode>
                <c:ptCount val="29"/>
                <c:pt idx="0">
                  <c:v>-0.23829185865210384</c:v>
                </c:pt>
                <c:pt idx="1">
                  <c:v>0.27111189586233947</c:v>
                </c:pt>
                <c:pt idx="2">
                  <c:v>0.17736445544140217</c:v>
                </c:pt>
                <c:pt idx="3">
                  <c:v>0.13870810764497971</c:v>
                </c:pt>
                <c:pt idx="4">
                  <c:v>8.099631672412623E-2</c:v>
                </c:pt>
                <c:pt idx="5">
                  <c:v>-0.15410137061975526</c:v>
                </c:pt>
                <c:pt idx="6">
                  <c:v>0.34995837204325353</c:v>
                </c:pt>
                <c:pt idx="7">
                  <c:v>-6.9928732703536875E-2</c:v>
                </c:pt>
                <c:pt idx="8">
                  <c:v>-6.0644159206786188E-2</c:v>
                </c:pt>
                <c:pt idx="9">
                  <c:v>-0.21686694438407525</c:v>
                </c:pt>
                <c:pt idx="10">
                  <c:v>9.6077620466778674E-2</c:v>
                </c:pt>
                <c:pt idx="11">
                  <c:v>-0.30447953976794423</c:v>
                </c:pt>
                <c:pt idx="12">
                  <c:v>3.0408393644733623E-2</c:v>
                </c:pt>
                <c:pt idx="13">
                  <c:v>-3.4844003161906478E-3</c:v>
                </c:pt>
                <c:pt idx="14">
                  <c:v>0.26234577665938408</c:v>
                </c:pt>
                <c:pt idx="15">
                  <c:v>-1.2188515797004893E-2</c:v>
                </c:pt>
                <c:pt idx="16">
                  <c:v>6.0904021885281939E-3</c:v>
                </c:pt>
                <c:pt idx="17">
                  <c:v>-0.25337316239475643</c:v>
                </c:pt>
                <c:pt idx="18">
                  <c:v>-2.7560048547625764E-2</c:v>
                </c:pt>
                <c:pt idx="19">
                  <c:v>-0.14428776695966092</c:v>
                </c:pt>
                <c:pt idx="20">
                  <c:v>0.16941759540975893</c:v>
                </c:pt>
                <c:pt idx="21">
                  <c:v>0.11144915321739968</c:v>
                </c:pt>
                <c:pt idx="22">
                  <c:v>-0.10246596308322357</c:v>
                </c:pt>
                <c:pt idx="23">
                  <c:v>-5.7204201739135541E-2</c:v>
                </c:pt>
                <c:pt idx="24">
                  <c:v>-4.264135229027826E-2</c:v>
                </c:pt>
                <c:pt idx="25">
                  <c:v>-0.13872983786913434</c:v>
                </c:pt>
                <c:pt idx="26">
                  <c:v>-7.7857742619050138E-2</c:v>
                </c:pt>
                <c:pt idx="27">
                  <c:v>0.16226530158261929</c:v>
                </c:pt>
                <c:pt idx="28">
                  <c:v>4.7912206064965546E-2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8E-4B0F-9EF7-20CD8B062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434800"/>
        <c:axId val="225203760"/>
      </c:scatterChart>
      <c:valAx>
        <c:axId val="111043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F1 (99.24 %)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25203760"/>
        <c:crosses val="autoZero"/>
        <c:crossBetween val="midCat"/>
      </c:valAx>
      <c:valAx>
        <c:axId val="225203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F2 (0.44 %)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en-US"/>
          </a:p>
        </c:txPr>
        <c:crossAx val="111043480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Biplot (axes F1 and F2: 99.68 %)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 variables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237E-2"/>
                  <c:y val="-3.06513409961686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E29-4B01-8DC7-F442E3B1B066}"/>
                </c:ext>
              </c:extLst>
            </c:dLbl>
            <c:dLbl>
              <c:idx val="1"/>
              <c:layout>
                <c:manualLayout>
                  <c:x val="-1.7361111111111112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E29-4B01-8DC7-F442E3B1B066}"/>
                </c:ext>
              </c:extLst>
            </c:dLbl>
            <c:dLbl>
              <c:idx val="2"/>
              <c:layout>
                <c:manualLayout>
                  <c:x val="-1.7361111111111112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E29-4B01-8DC7-F442E3B1B066}"/>
                </c:ext>
              </c:extLst>
            </c:dLbl>
            <c:dLbl>
              <c:idx val="3"/>
              <c:layout>
                <c:manualLayout>
                  <c:x val="-5.9374999999999997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E29-4B01-8DC7-F442E3B1B066}"/>
                </c:ext>
              </c:extLst>
            </c:dLbl>
            <c:dLbl>
              <c:idx val="4"/>
              <c:layout>
                <c:manualLayout>
                  <c:x val="-1.7361111111111112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E29-4B01-8DC7-F442E3B1B066}"/>
                </c:ext>
              </c:extLst>
            </c:dLbl>
            <c:dLbl>
              <c:idx val="5"/>
              <c:layout>
                <c:manualLayout>
                  <c:x val="-5.9375000000000018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E29-4B01-8DC7-F442E3B1B0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XLSTAT_20260730_142236_1_HID1!$A$1:$A$6</c:f>
              <c:numCache>
                <c:formatCode>General</c:formatCode>
                <c:ptCount val="6"/>
                <c:pt idx="0">
                  <c:v>0.408805214705043</c:v>
                </c:pt>
                <c:pt idx="1">
                  <c:v>0.40758118592293852</c:v>
                </c:pt>
                <c:pt idx="2">
                  <c:v>0.40870886228445852</c:v>
                </c:pt>
                <c:pt idx="3">
                  <c:v>-0.40845958528663856</c:v>
                </c:pt>
                <c:pt idx="4">
                  <c:v>0.40857823919305325</c:v>
                </c:pt>
                <c:pt idx="5">
                  <c:v>-0.40735430382792037</c:v>
                </c:pt>
              </c:numCache>
            </c:numRef>
          </c:xVal>
          <c:yVal>
            <c:numRef>
              <c:f>XLSTAT_20260730_142236_1_HID1!$B$1:$B$6</c:f>
              <c:numCache>
                <c:formatCode>General</c:formatCode>
                <c:ptCount val="6"/>
                <c:pt idx="0">
                  <c:v>0.24462429237417577</c:v>
                </c:pt>
                <c:pt idx="1">
                  <c:v>0.53185432173520375</c:v>
                </c:pt>
                <c:pt idx="2">
                  <c:v>-1.4967076545426589E-3</c:v>
                </c:pt>
                <c:pt idx="3">
                  <c:v>0.44547951931744262</c:v>
                </c:pt>
                <c:pt idx="4">
                  <c:v>0.28444609889155259</c:v>
                </c:pt>
                <c:pt idx="5">
                  <c:v>0.61475695245543538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9-4B01-8DC7-F442E3B1B066}"/>
            </c:ext>
          </c:extLst>
        </c:ser>
        <c:ser>
          <c:idx val="1"/>
          <c:order val="1"/>
          <c:tx>
            <c:v>Active observations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5433891076115515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E29-4B01-8DC7-F442E3B1B066}"/>
                </c:ext>
              </c:extLst>
            </c:dLbl>
            <c:dLbl>
              <c:idx val="1"/>
              <c:layout>
                <c:manualLayout>
                  <c:x val="-1.7361111111111112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E29-4B01-8DC7-F442E3B1B066}"/>
                </c:ext>
              </c:extLst>
            </c:dLbl>
            <c:dLbl>
              <c:idx val="2"/>
              <c:layout>
                <c:manualLayout>
                  <c:x val="-1.7361111111111174E-2"/>
                  <c:y val="-3.06513409961686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E29-4B01-8DC7-F442E3B1B066}"/>
                </c:ext>
              </c:extLst>
            </c:dLbl>
            <c:dLbl>
              <c:idx val="3"/>
              <c:layout>
                <c:manualLayout>
                  <c:x val="-8.5433891076115501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E29-4B01-8DC7-F442E3B1B066}"/>
                </c:ext>
              </c:extLst>
            </c:dLbl>
            <c:dLbl>
              <c:idx val="4"/>
              <c:layout>
                <c:manualLayout>
                  <c:x val="-1.7361111111111237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E29-4B01-8DC7-F442E3B1B066}"/>
                </c:ext>
              </c:extLst>
            </c:dLbl>
            <c:dLbl>
              <c:idx val="5"/>
              <c:layout>
                <c:manualLayout>
                  <c:x val="-8.5433891076115487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DE29-4B01-8DC7-F442E3B1B066}"/>
                </c:ext>
              </c:extLst>
            </c:dLbl>
            <c:dLbl>
              <c:idx val="6"/>
              <c:layout>
                <c:manualLayout>
                  <c:x val="-8.5433891076115487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E29-4B01-8DC7-F442E3B1B066}"/>
                </c:ext>
              </c:extLst>
            </c:dLbl>
            <c:dLbl>
              <c:idx val="7"/>
              <c:layout>
                <c:manualLayout>
                  <c:x val="-1.7361111111111112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E29-4B01-8DC7-F442E3B1B066}"/>
                </c:ext>
              </c:extLst>
            </c:dLbl>
            <c:dLbl>
              <c:idx val="8"/>
              <c:layout>
                <c:manualLayout>
                  <c:x val="-1.7361111111111112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E29-4B01-8DC7-F442E3B1B066}"/>
                </c:ext>
              </c:extLst>
            </c:dLbl>
            <c:dLbl>
              <c:idx val="9"/>
              <c:layout>
                <c:manualLayout>
                  <c:x val="-9.7760553368328965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DE29-4B01-8DC7-F442E3B1B066}"/>
                </c:ext>
              </c:extLst>
            </c:dLbl>
            <c:dLbl>
              <c:idx val="10"/>
              <c:layout>
                <c:manualLayout>
                  <c:x val="-1.7361111111111174E-2"/>
                  <c:y val="-3.06513409961686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DE29-4B01-8DC7-F442E3B1B066}"/>
                </c:ext>
              </c:extLst>
            </c:dLbl>
            <c:dLbl>
              <c:idx val="11"/>
              <c:layout>
                <c:manualLayout>
                  <c:x val="-9.7760553368328965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DE29-4B01-8DC7-F442E3B1B066}"/>
                </c:ext>
              </c:extLst>
            </c:dLbl>
            <c:dLbl>
              <c:idx val="12"/>
              <c:layout>
                <c:manualLayout>
                  <c:x val="-9.7760553368328978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DE29-4B01-8DC7-F442E3B1B066}"/>
                </c:ext>
              </c:extLst>
            </c:dLbl>
            <c:dLbl>
              <c:idx val="13"/>
              <c:layout>
                <c:manualLayout>
                  <c:x val="-1.7361111111111112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DE29-4B01-8DC7-F442E3B1B066}"/>
                </c:ext>
              </c:extLst>
            </c:dLbl>
            <c:dLbl>
              <c:idx val="14"/>
              <c:layout>
                <c:manualLayout>
                  <c:x val="-9.7760553368328965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DE29-4B01-8DC7-F442E3B1B066}"/>
                </c:ext>
              </c:extLst>
            </c:dLbl>
            <c:dLbl>
              <c:idx val="15"/>
              <c:layout>
                <c:manualLayout>
                  <c:x val="-1.7361111111111174E-2"/>
                  <c:y val="1.72413793103446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DE29-4B01-8DC7-F442E3B1B066}"/>
                </c:ext>
              </c:extLst>
            </c:dLbl>
            <c:dLbl>
              <c:idx val="16"/>
              <c:layout>
                <c:manualLayout>
                  <c:x val="-1.7361111111111174E-2"/>
                  <c:y val="-3.06513409961685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DE29-4B01-8DC7-F442E3B1B066}"/>
                </c:ext>
              </c:extLst>
            </c:dLbl>
            <c:dLbl>
              <c:idx val="17"/>
              <c:layout>
                <c:manualLayout>
                  <c:x val="-9.7760553368328992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DE29-4B01-8DC7-F442E3B1B066}"/>
                </c:ext>
              </c:extLst>
            </c:dLbl>
            <c:dLbl>
              <c:idx val="18"/>
              <c:layout>
                <c:manualLayout>
                  <c:x val="-1.7361111111111112E-2"/>
                  <c:y val="1.72413793103446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DE29-4B01-8DC7-F442E3B1B066}"/>
                </c:ext>
              </c:extLst>
            </c:dLbl>
            <c:dLbl>
              <c:idx val="19"/>
              <c:layout>
                <c:manualLayout>
                  <c:x val="-9.776055336832902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DE29-4B01-8DC7-F442E3B1B066}"/>
                </c:ext>
              </c:extLst>
            </c:dLbl>
            <c:dLbl>
              <c:idx val="20"/>
              <c:layout>
                <c:manualLayout>
                  <c:x val="-9.7760553368328965E-2"/>
                  <c:y val="-3.06513409961685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DE29-4B01-8DC7-F442E3B1B066}"/>
                </c:ext>
              </c:extLst>
            </c:dLbl>
            <c:dLbl>
              <c:idx val="21"/>
              <c:layout>
                <c:manualLayout>
                  <c:x val="-1.7361111111111112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DE29-4B01-8DC7-F442E3B1B066}"/>
                </c:ext>
              </c:extLst>
            </c:dLbl>
            <c:dLbl>
              <c:idx val="22"/>
              <c:layout>
                <c:manualLayout>
                  <c:x val="-1.7361111111111174E-2"/>
                  <c:y val="1.72413793103446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DE29-4B01-8DC7-F442E3B1B066}"/>
                </c:ext>
              </c:extLst>
            </c:dLbl>
            <c:dLbl>
              <c:idx val="23"/>
              <c:layout>
                <c:manualLayout>
                  <c:x val="-9.7760553368328965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DE29-4B01-8DC7-F442E3B1B066}"/>
                </c:ext>
              </c:extLst>
            </c:dLbl>
            <c:dLbl>
              <c:idx val="24"/>
              <c:layout>
                <c:manualLayout>
                  <c:x val="-1.7361111111111112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DE29-4B01-8DC7-F442E3B1B066}"/>
                </c:ext>
              </c:extLst>
            </c:dLbl>
            <c:dLbl>
              <c:idx val="25"/>
              <c:layout>
                <c:manualLayout>
                  <c:x val="-9.7760553368328992E-2"/>
                  <c:y val="1.72413793103448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Obs26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DE29-4B01-8DC7-F442E3B1B066}"/>
                </c:ext>
              </c:extLst>
            </c:dLbl>
            <c:dLbl>
              <c:idx val="26"/>
              <c:layout>
                <c:manualLayout>
                  <c:x val="-9.7760553368328965E-2"/>
                  <c:y val="1.72413793103446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Obs27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DE29-4B01-8DC7-F442E3B1B066}"/>
                </c:ext>
              </c:extLst>
            </c:dLbl>
            <c:dLbl>
              <c:idx val="27"/>
              <c:layout>
                <c:manualLayout>
                  <c:x val="-1.7361111111111174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DE29-4B01-8DC7-F442E3B1B066}"/>
                </c:ext>
              </c:extLst>
            </c:dLbl>
            <c:dLbl>
              <c:idx val="28"/>
              <c:layout>
                <c:manualLayout>
                  <c:x val="-1.7361111111111174E-2"/>
                  <c:y val="-3.065134099616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DE29-4B01-8DC7-F442E3B1B0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XLSTAT_20260730_142236_1_HID1!$C$1:$C$29</c:f>
              <c:numCache>
                <c:formatCode>General</c:formatCode>
                <c:ptCount val="29"/>
                <c:pt idx="0">
                  <c:v>-2.2686060756216011</c:v>
                </c:pt>
                <c:pt idx="1">
                  <c:v>1.9280870655530995</c:v>
                </c:pt>
                <c:pt idx="2">
                  <c:v>0.85089059308301362</c:v>
                </c:pt>
                <c:pt idx="3">
                  <c:v>-3.1262674445555669</c:v>
                </c:pt>
                <c:pt idx="4">
                  <c:v>3.6718074151163944</c:v>
                </c:pt>
                <c:pt idx="5">
                  <c:v>-0.21115900496744042</c:v>
                </c:pt>
                <c:pt idx="6">
                  <c:v>-4.1818684146016682</c:v>
                </c:pt>
                <c:pt idx="7">
                  <c:v>2.2734649600401542</c:v>
                </c:pt>
                <c:pt idx="8">
                  <c:v>0.94529086564530873</c:v>
                </c:pt>
                <c:pt idx="9">
                  <c:v>-1.6597400942470728</c:v>
                </c:pt>
                <c:pt idx="10">
                  <c:v>3.0583215588358073</c:v>
                </c:pt>
                <c:pt idx="11">
                  <c:v>-1.1018378605028256</c:v>
                </c:pt>
                <c:pt idx="12">
                  <c:v>-2.65513756685078</c:v>
                </c:pt>
                <c:pt idx="13">
                  <c:v>1.6936137426048952</c:v>
                </c:pt>
                <c:pt idx="14">
                  <c:v>-3.6239661808574204</c:v>
                </c:pt>
                <c:pt idx="15">
                  <c:v>2.8632810407144142</c:v>
                </c:pt>
                <c:pt idx="16">
                  <c:v>0.28618625006738613</c:v>
                </c:pt>
                <c:pt idx="17">
                  <c:v>-1.6551202193410168</c:v>
                </c:pt>
                <c:pt idx="18">
                  <c:v>3.5560202951376616</c:v>
                </c:pt>
                <c:pt idx="19">
                  <c:v>-0.60449260546799877</c:v>
                </c:pt>
                <c:pt idx="20">
                  <c:v>-3.8455755575758834</c:v>
                </c:pt>
                <c:pt idx="21">
                  <c:v>2.3655823044125599</c:v>
                </c:pt>
                <c:pt idx="22">
                  <c:v>0.17039913008865493</c:v>
                </c:pt>
                <c:pt idx="23">
                  <c:v>-2.0972353331065334</c:v>
                </c:pt>
                <c:pt idx="24">
                  <c:v>4.169506151418247</c:v>
                </c:pt>
                <c:pt idx="25">
                  <c:v>-0.90389825939068902</c:v>
                </c:pt>
                <c:pt idx="26">
                  <c:v>-2.8501780849721747</c:v>
                </c:pt>
                <c:pt idx="27">
                  <c:v>1.8915533437170318</c:v>
                </c:pt>
                <c:pt idx="28">
                  <c:v>1.0610779856240398</c:v>
                </c:pt>
              </c:numCache>
            </c:numRef>
          </c:xVal>
          <c:yVal>
            <c:numRef>
              <c:f>XLSTAT_20260730_142236_1_HID1!$D$1:$D$29</c:f>
              <c:numCache>
                <c:formatCode>General</c:formatCode>
                <c:ptCount val="29"/>
                <c:pt idx="0">
                  <c:v>-0.23829185865210384</c:v>
                </c:pt>
                <c:pt idx="1">
                  <c:v>0.27111189586233947</c:v>
                </c:pt>
                <c:pt idx="2">
                  <c:v>0.17736445544140217</c:v>
                </c:pt>
                <c:pt idx="3">
                  <c:v>0.13870810764497971</c:v>
                </c:pt>
                <c:pt idx="4">
                  <c:v>8.099631672412623E-2</c:v>
                </c:pt>
                <c:pt idx="5">
                  <c:v>-0.15410137061975526</c:v>
                </c:pt>
                <c:pt idx="6">
                  <c:v>0.34995837204325353</c:v>
                </c:pt>
                <c:pt idx="7">
                  <c:v>-6.9928732703536875E-2</c:v>
                </c:pt>
                <c:pt idx="8">
                  <c:v>-6.0644159206786188E-2</c:v>
                </c:pt>
                <c:pt idx="9">
                  <c:v>-0.21686694438407525</c:v>
                </c:pt>
                <c:pt idx="10">
                  <c:v>9.6077620466778674E-2</c:v>
                </c:pt>
                <c:pt idx="11">
                  <c:v>-0.30447953976794423</c:v>
                </c:pt>
                <c:pt idx="12">
                  <c:v>3.0408393644733623E-2</c:v>
                </c:pt>
                <c:pt idx="13">
                  <c:v>-3.4844003161906478E-3</c:v>
                </c:pt>
                <c:pt idx="14">
                  <c:v>0.26234577665938408</c:v>
                </c:pt>
                <c:pt idx="15">
                  <c:v>-1.2188515797004893E-2</c:v>
                </c:pt>
                <c:pt idx="16">
                  <c:v>6.0904021885281939E-3</c:v>
                </c:pt>
                <c:pt idx="17">
                  <c:v>-0.25337316239475643</c:v>
                </c:pt>
                <c:pt idx="18">
                  <c:v>-2.7560048547625764E-2</c:v>
                </c:pt>
                <c:pt idx="19">
                  <c:v>-0.14428776695966092</c:v>
                </c:pt>
                <c:pt idx="20">
                  <c:v>0.16941759540975893</c:v>
                </c:pt>
                <c:pt idx="21">
                  <c:v>0.11144915321739968</c:v>
                </c:pt>
                <c:pt idx="22">
                  <c:v>-0.10246596308322357</c:v>
                </c:pt>
                <c:pt idx="23">
                  <c:v>-5.7204201739135541E-2</c:v>
                </c:pt>
                <c:pt idx="24">
                  <c:v>-4.264135229027826E-2</c:v>
                </c:pt>
                <c:pt idx="25">
                  <c:v>-0.13872983786913434</c:v>
                </c:pt>
                <c:pt idx="26">
                  <c:v>-7.7857742619050138E-2</c:v>
                </c:pt>
                <c:pt idx="27">
                  <c:v>0.16226530158261929</c:v>
                </c:pt>
                <c:pt idx="28">
                  <c:v>4.7912206064965546E-2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E29-4B01-8DC7-F442E3B1B066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0.408805214705043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0.24462429237417577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5-DE29-4B01-8DC7-F442E3B1B066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0.40758118592293852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0.53185432173520375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6-DE29-4B01-8DC7-F442E3B1B066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0.40870886228445852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-1.4967076545426589E-3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7-DE29-4B01-8DC7-F442E3B1B066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-0.40845958528663856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0.44547951931744262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8-DE29-4B01-8DC7-F442E3B1B066}"/>
            </c:ext>
          </c:extLst>
        </c:ser>
        <c:ser>
          <c:idx val="6"/>
          <c:order val="6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0.40857823919305325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0.28444609889155259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9-DE29-4B01-8DC7-F442E3B1B066}"/>
            </c:ext>
          </c:extLst>
        </c:ser>
        <c:ser>
          <c:idx val="7"/>
          <c:order val="7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-0.40735430382792037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0.61475695245543538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A-DE29-4B01-8DC7-F442E3B1B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811472"/>
        <c:axId val="225241680"/>
      </c:scatterChart>
      <c:valAx>
        <c:axId val="23381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F1 (99.24 %)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25241680"/>
        <c:crosses val="autoZero"/>
        <c:crossBetween val="midCat"/>
      </c:valAx>
      <c:valAx>
        <c:axId val="2252416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F2 (0.44 %)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en-US"/>
          </a:p>
        </c:txPr>
        <c:crossAx val="23381147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Axes homogeneity index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Value</c:v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PCA!$B$224:$B$228</c:f>
              <c:strCache>
                <c:ptCount val="5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</c:strCache>
            </c:strRef>
          </c:cat>
          <c:val>
            <c:numRef>
              <c:f>PCA!$C$224:$C$228</c:f>
              <c:numCache>
                <c:formatCode>0.000</c:formatCode>
                <c:ptCount val="5"/>
                <c:pt idx="0">
                  <c:v>0.37931034482758624</c:v>
                </c:pt>
                <c:pt idx="1">
                  <c:v>0.34482758620689652</c:v>
                </c:pt>
                <c:pt idx="2">
                  <c:v>0.2413793103448276</c:v>
                </c:pt>
                <c:pt idx="3">
                  <c:v>0.37931034482758619</c:v>
                </c:pt>
                <c:pt idx="4">
                  <c:v>0.31034482758620685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0-42E4-89FB-5E822E738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29137808"/>
        <c:axId val="225255600"/>
      </c:barChart>
      <c:catAx>
        <c:axId val="229137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axis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25255600"/>
        <c:crosses val="autoZero"/>
        <c:auto val="1"/>
        <c:lblAlgn val="ctr"/>
        <c:lblOffset val="100"/>
        <c:noMultiLvlLbl val="0"/>
      </c:catAx>
      <c:valAx>
        <c:axId val="22525560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29137808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31" noThreeD="1" sel="1" val="0">
  <itemLst>
    <item val="Summary statistics"/>
    <item val="Principal Component Analysis"/>
    <item val="Eigenvalues"/>
    <item val="Eigenvectors"/>
    <item val="Factor loadings"/>
    <item val="Correlations between variables and factors"/>
    <item val="Contribution of the variables (%)"/>
    <item val="Squared cosines of the variables"/>
    <item val="Factor scores"/>
    <item val="Contribution of the observations (%)"/>
    <item val="Axes homogeneity index"/>
    <item val="Squared cosines of the observations"/>
  </itemLst>
</formControlPr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12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109728</xdr:colOff>
      <xdr:row>0</xdr:row>
      <xdr:rowOff>36830</xdr:rowOff>
    </xdr:from>
    <xdr:to>
      <xdr:col>12</xdr:col>
      <xdr:colOff>597408</xdr:colOff>
      <xdr:row>1</xdr:row>
      <xdr:rowOff>147320</xdr:rowOff>
    </xdr:to>
    <xdr:sp macro="[0]!OrderXLSTAT" textlink="">
      <xdr:nvSpPr>
        <xdr:cNvPr id="2" name="BT705548">
          <a:extLst>
            <a:ext uri="{FF2B5EF4-FFF2-40B4-BE49-F238E27FC236}">
              <a16:creationId xmlns:a16="http://schemas.microsoft.com/office/drawing/2014/main" id="{13BC63E7-8BFB-5D73-9254-25814A0D98F2}"/>
            </a:ext>
          </a:extLst>
        </xdr:cNvPr>
        <xdr:cNvSpPr txBox="1"/>
      </xdr:nvSpPr>
      <xdr:spPr>
        <a:xfrm>
          <a:off x="6529578" y="36830"/>
          <a:ext cx="1097280" cy="29464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8</xdr:row>
      <xdr:rowOff>0</xdr:rowOff>
    </xdr:from>
    <xdr:to>
      <xdr:col>2</xdr:col>
      <xdr:colOff>38100</xdr:colOff>
      <xdr:row>8</xdr:row>
      <xdr:rowOff>25400</xdr:rowOff>
    </xdr:to>
    <xdr:sp macro="" textlink="">
      <xdr:nvSpPr>
        <xdr:cNvPr id="3" name="TX262480" hidden="1">
          <a:extLst>
            <a:ext uri="{FF2B5EF4-FFF2-40B4-BE49-F238E27FC236}">
              <a16:creationId xmlns:a16="http://schemas.microsoft.com/office/drawing/2014/main" id="{ADECF171-58AB-0519-80BE-367C2DCD14D7}"/>
            </a:ext>
          </a:extLst>
        </xdr:cNvPr>
        <xdr:cNvSpPr txBox="1"/>
      </xdr:nvSpPr>
      <xdr:spPr>
        <a:xfrm>
          <a:off x="946150" y="14732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RunProcPCA
Form22.txt
CheckBoxTrans,CheckBox,0,False,01,False,Trans,False,,,
TextBoxList,TextBox,,False,02,False,,False,,,
CheckBox_W,CheckBox,0,True,000000000301_General,True,Weights,False,,,
CheckBox_ObsLabels,CheckBox,0,True,000000000101_General,True,Observation labels,False,,,
CheckBox_Desc,CheckBox,-1,True,400000000000_Outputs,True,Descriptive statistics,False,,,
CheckBox_Corr,CheckBox,0,True,400000000100_Outputs,True,Correlations,False,,,
CheckBoxSig,CheckBox,0,True,400000000200_Outputs,True,Test significance,False,,,
TextBox_conf,TextBox,5,True,400000010400_Outputs,True,Significance level (%):,False,,,
CheckBoxBartlett,CheckBox,0,True,400000000300_Outputs,True,Bartlett's sphericity test,False,,,
CheckBoxKMO,CheckBox,0,True,400000000500_Outputs,True,Kaiser-Meyer-Olkin,False,,,
CheckBox_RankedMat,CheckBox,0,False,400000000600_Outputs,False,Ranks matrix,False,,,
CheckBoxLoadings,CheckBox,-1,True,400000000101_Outputs,True,Factor loadings,False,,,
CheckBoxScores,CheckBox,-1,True,400000000301_Outputs,True,Factor scores,False,,,
CheckBoxCorrFactVar,CheckBox,-1,True,400000000201_Outputs,True,Variables/Factors correlations,False,,,
CheckBoxEigen,CheckBox,-1,True,400000000001_Outputs,True,Eigenvalues,False,,,
CheckBoxContrib,CheckBox,-1,True,400000000401_Outputs,True,Contributions,False,,,
CheckBoxCos,CheckBox,-1,True,400000000501_Outputs,True,Squared cosines,False,,,
CheckBoxSuppObs,CheckBox,0,True,200000000000_Additional data,True,Supplementary observations,False,,,
CheckBox_VarLabelsSuppObs,CheckBox,0,True,200000000200_Additional data,True,Var. labels for supp. obs,False,,,
CheckBox_ObsLabelsSuppObs,CheckBox,0,True,200000000300_Additional data,True,Supp. obs labels,False,,,
CheckBoxSuppVar,CheckBox,0,True,200000000001_Additional data,True,Supplementary variables,False,,,
CheckBox_Q,CheckBox,0,True,200000000301_Additional data,True,Qualitative,False,,,
CheckBox_X,CheckBox,0,True,200000000101_Additional data,True,Quantitative,False,,,
CheckBoxCentroids,CheckBox,0,True,200000000401_Additional data,True,Display centroids,False,,,
OptionButton_MVRemove,OptionButton,0,True,300000000100_Data options,True,Remove the observations,False,,,
OptionButton_MVRefuse,OptionButton,-1,True,300000000000_Data options,True,Do not accept missing data,False,,,
OptionButton_MeanMode,OptionButton,-1,True,300000000400_Data options,True,Mean or mode,False,,,
OptionButton_NN,OptionButton,0,True,300000010400_Data options,True,Nearest neighbor,False,,,
OptionButton_MVEstimate,OptionButton,0,True,300000000300_Data options,True,Estimate missing data,False,,,
OptionButton_MVPair,OptionButton,0,True,300000000200_Data options,True,Pairwise deletion,False,,,
OptionButton_MVReplace0,OptionButton,0,False,300000000500_Data options,False,Replace missing data by 0,False,,,
CheckBoxByGroup,CheckBox,0,True,300000000101_Data options,True,By group analysis,False,,,
OptionButton_ByGroups,OptionButton,-1,True,300000000301_Data options,True,One PCA per group,False,,,
OptionButton_ByGroupsSelected,OptionButton,0,True,300000010301_Data options,True,One PCA per selected group,False,,,
OptionButton_GroupsMerged,OptionButton,0,True,300000020301_Data options,True,One PCA on merged groups,False,,,
CheckBoxIndCharts,CheckBox,-1,True,510000000000_Charts|Observations,True,Observations charts,False,,,
CheckBoxLabelsInd,CheckBox,-1,True,510000000100_Charts|Observations,True,Labels,False,,,
CheckBoxColorsLabelObs,CheckBox,0,True,510000000200_Charts|Observations,True,Colored labels,False,,,
CheckBoxSizeObs,CheckBox,0,True,510000000700_Charts|Observations,True,Resize points with Cos2,False,,,
CheckBoxColorObsGroup,CheckBox,0,True,510000000300_Charts|Observations,True,Color by group,False,,,
CheckBoxEllipseGroup,CheckBox,0,True,510000000500_Charts|Observations,True,Confidence ellipses,False,,,
TextBox_Conf_Ellipse,TextBox,95,True,510000010600_Charts|Observations,True,,False,,,
TextBoxPoints,TextBox,0.5,True,510000000301_Charts|Observations,True,Sum(Cos2)&gt;,False,,,
ComboBoxFilter,ComboBox,4,True,510000000101_Charts|Observations,True,Select the filtering option,False,,,
CheckBoxChartsFilter,CheckBox,0,True,510000000001_Charts|Observations,True,Filter,False,,,
CheckBoxVectors,CheckBox,0,True,500000000100_Charts|Variables,True,Vectors,False,,,
CheckBoxCorrCharts,CheckBox,0,True,500000000000_Charts|Variables,True,Correlation charts,False,,,
CheckBoxColorsVar,CheckBox,0,True,500000000300_Charts|Variables,True,Colored labels,False,,,
CheckBoxColorVarGroup,CheckBox,0,True,500000000400_Charts|Variables,True,Color by group,False,,,
CheckBoxSizeVar,CheckBox,0,True,500000000700_Charts|Variables,True,Resize points with Cos2,False,,,
CheckBoxLabelAngle,CheckBox,0,True,500000000200_Charts|Variables,True,Orientate labels,False,,,
TextBoxPointsVar,TextBox,0.5,True,500000000301_Charts|Variables,True,Sum(Cos2)&gt;,False,,,
ComboBoxFilterVar,ComboBox,4,True,500000000101_Charts|Variables,True,Select the filtering option,False,,,
CheckBoxChartsFilterVar,CheckBox,0,True,500000000001_Charts|Variables,True,Filter,False,,,
CheckBoxBiplotVectorsVar,CheckBox,-1,True,520000000200_Charts|Biplots,True,Vectors,False,,,
CheckBoxBiplotLabelsVar,CheckBox,-1,True,520000000300_Charts|Biplots,True,Labels,False,,,
CheckBoxBiplots,CheckBox,-1,True,520000000000_Charts|Biplots,True,Biplots,False,,,
CheckBoxBiplotLabelsObs,CheckBox,-1,True,520000000500_Charts|Biplots,True,Labels,False,,,
CheckBoxBiplotSuppObsVar,CheckBox,-1,True,520000000700_Charts|Biplots,True,Supp. Obs/Var,False,,,
CheckBoxBiplotFilterObsVar,CheckBox,-1,True,520000000800_Charts|Biplots,True,Filter Obs/Var,False,,,
ComboBoxBiplot,ComboBox,1,True,520000000101_Charts|Biplots,True,Select the type of biplot,False,,,
ComboBoxScale,ComboBox,3,True,520000000301_Charts|Biplots,True,Coefficient:,False,,,
TextBoxScale,TextBox,1,False,520000000401_Charts|Biplots,False,Coefficient:,False,,,
OptionButtonEllipseBoot,OptionButton,0,True,530000020400_Charts|Bootstrap charts,True,Confidence ellipses,False,,,
OptionButtonConvexHullBoot,OptionButton,-1,True,530000010400_Charts|Bootstrap charts,True,Convex hulls,False,,,
CheckBoxBootChart,CheckBox,0,True,530000000000_Charts|Bootstrap charts,True,Bootstrap observations chart,False,,,
TextBoxNbSampleBoot,TextBox,50,True,530000010100_Charts|Bootstrap charts,True,Number of samples:,False,,,
CheckBoxColorObsBoot,CheckBox,0,True,530000000200_Charts|Bootstrap charts,True,Color observations,False,,,
CheckBoxChartsFilterBoot,CheckBox,0,True,530000000300_Charts|Bootstrap charts,True,Filter observations,False,,,
ComboBoxRotation,ComboBox,0,True,100000000401_Options,True,Select the type of rotation,False,,,
CheckBoxRotation,CheckBox,0,True,100000000001_Options,True,Rotation,False,,,
TextBoxGammTau,TextBox,0,False,100000000701_Options,False,,False,,,
CheckBoxKaiser,CheckBox,0,True,100000000501_Options,True,Kaiser normalization,False,,,
TextBoxNbFact,TextBox,2,True,100000000201_Options,True,Number of factors:,False,,,
FileSelect1,CommandButton,,False,000000000600_General,False,RefEditT,False,,,
CheckBoxVarLabels,CheckBox,-1,True,000000000001_General,True,Variable labels,False,,,
FileSelect2,CommandButton,,False,200000000500_Additional data,False,RefEdit_SuppObs,False,,,
ScrollBarSelect,ScrollBar,0,False,03,False,,,,,
CheckBoxMaxFilter,CheckBox,-1,True,100000030000_Options,True,Maximum number,False,,,
TextBoxCompMax,TextBox,5,True,100000040000_Options,True,,False,,,
CheckBoxMinFilter,CheckBox,0,True,100000010000_Options,True,Minimum %,False,,,
TextBoxMinPerc,TextBox,80,True,100000020000_Options,True,,False,,,
OptionButton_Std_n1,OptionButton,0,True,100000020100_Options,True,n-1,False,,,
OptionButton_Std_n,OptionButton,-1,True,100000010100_Options,True,n,False,,,
CheckBoxBiplotColorGroupObsVar,CheckBox,-1,True,520000000900_Charts|Biplots,True,Color Obs/Var,False,,,
CheckBoxDisplay2Axes,CheckBox,0,True,100000040100_Options,True,Charts on the first two axes,False,,,
SpinButtonCompMax,SpinButton,5,True,100000050000_Options,False,,,,,
RefEditT,TextBox0,'Sheet2'!$A$2:$F$31,True,000000000200_General,True,,False,,30,6
RefEdit_W,TextBox0,,True,000000000401_General,True,Weights:,False,,,
RefEdit_ObsLabels,TextBox0,,True,000000000201_General,True,Observation labels:,False,,,
RefEdit_SuppObs,TextBox0,,True,200000000100_Additional data,True,,False,,,
RefEdit_ObsSuppLabels,TextBox0,,True,200000000400_Additional data,True,,False,,,
RefEdit_Q,TextBox0,,True,200000000501_Additional data,True,Qualitative:,False,,,
RefEdit_X,TextBox0,,True,200000000201_Additional data,True,Quantitative:,False,,,
RefEditGroups,TextBox0,,True,300000000201_Data options,True,,False,,,
RefEditColorObsGroup,TextBox0,,True,510000000400_Charts|Observations,True,Color by group,False,,,
RefEditGroupFilter,TextBox0,,True,510000000501_Charts|Observations,True,Group variable:,False,,,
RefEditColorVarGroup,TextBox0,,True,500000000500_Charts|Variables,True,Color by group,False,,,
RefEditGroupFilterVar,TextBox0,,True,500000000501_Charts|Variables,True,Group variable:,False,,,
CheckBox_SV,CheckBox,0,False,05,False,SV,False,,,
OptionButton_R,OptionButton,0,True,0006,True,Range,False,,,
RefEdit_R,TextBox,,True,0106,True,Range:,False,,,
OptionButton_S,OptionButton,-1,True,0206,True,Sheet,False,,,
OptionButton_W,OptionButton,0,True,0306,True,Workbook,False,,,
RefEdit_ObsLabels_SV,TextBox0,,True,000000000203_General,True,Observation labels:,False,,,
CheckBox_ObsLabels_SV,CheckBox,0,True,000000000103_General,True,Observation labels,False,,,
CheckBoxVarLabels_SV,CheckBox,-1,True,000000000003_General,True,Variable labels,False,,,
CheckBoxDisplay2Axes_SV,CheckBox,0,True,000000000102_General,True,Charts on the first two axes,False,,,
RefEditColorVarGroup_SV,TextBox0,,True,000000000402_General,True,Color by group,False,,,
CheckBoxColorVarGroup_SV,CheckBox,0,True,000000000302_General,True,Color by group,False,,,
CheckBoxCorrCharts_SV,CheckBox,-1,True,000000000202_General,True,Correlation charts,False,,,
RefEditColorObsGroup_SV,TextBox0,,True,000000000702_General,True,Color by group,False,,,
CheckBoxColorObsGroup_SV,CheckBox,0,True,000000000602_General,True,Color by group,False,,,
CheckBoxIndCharts_SV,CheckBox,-1,True,000000000502_General,True,Observations charts,False,,,
CheckBoxBiplotLabelsVar_SV,CheckBox,-1,True,000000000902_General,True,Labels,False,,,
CheckBoxBiplots_SV,CheckBox,-1,True,000000000802_General,True,Biplots,False,,,
ComboBoxFormat,ComboBox,0,True,000000010000_General,True,Data format:,False,,,
ComboBoxType,ComboBox,0,True,000000000500_General,True,Select the type of PCA to perform,False,,,
FileSelect3,CommandButton,,False,500000000800_Charts|Variables,False,RefEditColorVarGroup,False,,,
FileSelect4,CommandButton,,False,000000001002_General,False,RefEditColorVarGroup_SV,False,,,
CheckBox_SV,CheckBox,-1,False,22,False,SV,False,,,
</a:t>
          </a:r>
        </a:p>
      </xdr:txBody>
    </xdr:sp>
    <xdr:clientData/>
  </xdr:twoCellAnchor>
  <xdr:twoCellAnchor>
    <xdr:from>
      <xdr:col>2</xdr:col>
      <xdr:colOff>12700</xdr:colOff>
      <xdr:row>8</xdr:row>
      <xdr:rowOff>0</xdr:rowOff>
    </xdr:from>
    <xdr:to>
      <xdr:col>2</xdr:col>
      <xdr:colOff>38100</xdr:colOff>
      <xdr:row>8</xdr:row>
      <xdr:rowOff>25400</xdr:rowOff>
    </xdr:to>
    <xdr:sp macro="" textlink="">
      <xdr:nvSpPr>
        <xdr:cNvPr id="4" name="TX841888" hidden="1">
          <a:extLst>
            <a:ext uri="{FF2B5EF4-FFF2-40B4-BE49-F238E27FC236}">
              <a16:creationId xmlns:a16="http://schemas.microsoft.com/office/drawing/2014/main" id="{0D28761E-71E9-0F18-4804-58EB58B64561}"/>
            </a:ext>
          </a:extLst>
        </xdr:cNvPr>
        <xdr:cNvSpPr txBox="1"/>
      </xdr:nvSpPr>
      <xdr:spPr>
        <a:xfrm>
          <a:off x="946150" y="14732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RunProcAIA
Form298.txt
Form22.txt
</a:t>
          </a:r>
        </a:p>
      </xdr:txBody>
    </xdr:sp>
    <xdr:clientData/>
  </xdr:twoCellAnchor>
  <xdr:twoCellAnchor editAs="absolute">
    <xdr:from>
      <xdr:col>1</xdr:col>
      <xdr:colOff>6350</xdr:colOff>
      <xdr:row>8</xdr:row>
      <xdr:rowOff>6350</xdr:rowOff>
    </xdr:from>
    <xdr:to>
      <xdr:col>5</xdr:col>
      <xdr:colOff>6350</xdr:colOff>
      <xdr:row>8</xdr:row>
      <xdr:rowOff>473075</xdr:rowOff>
    </xdr:to>
    <xdr:sp macro="" textlink="">
      <xdr:nvSpPr>
        <xdr:cNvPr id="5" name="BK262480">
          <a:extLst>
            <a:ext uri="{FF2B5EF4-FFF2-40B4-BE49-F238E27FC236}">
              <a16:creationId xmlns:a16="http://schemas.microsoft.com/office/drawing/2014/main" id="{7FE35164-28D9-6A9D-BF2C-7C4B792F4F15}"/>
            </a:ext>
          </a:extLst>
        </xdr:cNvPr>
        <xdr:cNvSpPr/>
      </xdr:nvSpPr>
      <xdr:spPr>
        <a:xfrm>
          <a:off x="330200" y="1479550"/>
          <a:ext cx="24384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62442</xdr:colOff>
      <xdr:row>8</xdr:row>
      <xdr:rowOff>53975</xdr:rowOff>
    </xdr:from>
    <xdr:to>
      <xdr:col>1</xdr:col>
      <xdr:colOff>448522</xdr:colOff>
      <xdr:row>8</xdr:row>
      <xdr:rowOff>440055</xdr:rowOff>
    </xdr:to>
    <xdr:pic macro="[0]!ReRunXLSTAT">
      <xdr:nvPicPr>
        <xdr:cNvPr id="6" name="BT262480">
          <a:extLst>
            <a:ext uri="{FF2B5EF4-FFF2-40B4-BE49-F238E27FC236}">
              <a16:creationId xmlns:a16="http://schemas.microsoft.com/office/drawing/2014/main" id="{854AF234-A8BE-C519-5FBD-63FFC80AF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292" y="15271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8</xdr:row>
      <xdr:rowOff>53975</xdr:rowOff>
    </xdr:from>
    <xdr:to>
      <xdr:col>2</xdr:col>
      <xdr:colOff>321310</xdr:colOff>
      <xdr:row>8</xdr:row>
      <xdr:rowOff>440055</xdr:rowOff>
    </xdr:to>
    <xdr:pic macro="[0]!AddRemovGrid">
      <xdr:nvPicPr>
        <xdr:cNvPr id="7" name="RM262480">
          <a:extLst>
            <a:ext uri="{FF2B5EF4-FFF2-40B4-BE49-F238E27FC236}">
              <a16:creationId xmlns:a16="http://schemas.microsoft.com/office/drawing/2014/main" id="{F8B7F97D-44B9-A3F9-768B-F4061D1F7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" y="15271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8</xdr:row>
      <xdr:rowOff>53975</xdr:rowOff>
    </xdr:from>
    <xdr:to>
      <xdr:col>2</xdr:col>
      <xdr:colOff>321310</xdr:colOff>
      <xdr:row>8</xdr:row>
      <xdr:rowOff>440055</xdr:rowOff>
    </xdr:to>
    <xdr:pic macro="[0]!AddRemovGrid">
      <xdr:nvPicPr>
        <xdr:cNvPr id="8" name="AD262480" hidden="1">
          <a:extLst>
            <a:ext uri="{FF2B5EF4-FFF2-40B4-BE49-F238E27FC236}">
              <a16:creationId xmlns:a16="http://schemas.microsoft.com/office/drawing/2014/main" id="{A5A2A9E9-BE0A-47BA-399B-E594173B6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8680" y="15271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417618</xdr:colOff>
      <xdr:row>8</xdr:row>
      <xdr:rowOff>53975</xdr:rowOff>
    </xdr:from>
    <xdr:to>
      <xdr:col>3</xdr:col>
      <xdr:colOff>194098</xdr:colOff>
      <xdr:row>8</xdr:row>
      <xdr:rowOff>440055</xdr:rowOff>
    </xdr:to>
    <xdr:pic macro="[0]!SendToOfficeLocal">
      <xdr:nvPicPr>
        <xdr:cNvPr id="9" name="WD262480">
          <a:extLst>
            <a:ext uri="{FF2B5EF4-FFF2-40B4-BE49-F238E27FC236}">
              <a16:creationId xmlns:a16="http://schemas.microsoft.com/office/drawing/2014/main" id="{0F559FE7-FC3A-1B44-9F42-2905A3FCB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1068" y="15271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290407</xdr:colOff>
      <xdr:row>8</xdr:row>
      <xdr:rowOff>53975</xdr:rowOff>
    </xdr:from>
    <xdr:to>
      <xdr:col>4</xdr:col>
      <xdr:colOff>66887</xdr:colOff>
      <xdr:row>8</xdr:row>
      <xdr:rowOff>440055</xdr:rowOff>
    </xdr:to>
    <xdr:pic macro="[0]!SendToOfficeLocal">
      <xdr:nvPicPr>
        <xdr:cNvPr id="10" name="PT262480">
          <a:extLst>
            <a:ext uri="{FF2B5EF4-FFF2-40B4-BE49-F238E27FC236}">
              <a16:creationId xmlns:a16="http://schemas.microsoft.com/office/drawing/2014/main" id="{55D91E13-22A4-DBD4-2EA5-685726E86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33457" y="15271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4</xdr:col>
      <xdr:colOff>163195</xdr:colOff>
      <xdr:row>8</xdr:row>
      <xdr:rowOff>53975</xdr:rowOff>
    </xdr:from>
    <xdr:to>
      <xdr:col>4</xdr:col>
      <xdr:colOff>549275</xdr:colOff>
      <xdr:row>8</xdr:row>
      <xdr:rowOff>440055</xdr:rowOff>
    </xdr:to>
    <xdr:pic macro="[0]!getAIAResultsLocal">
      <xdr:nvPicPr>
        <xdr:cNvPr id="11" name="IA841888">
          <a:extLst>
            <a:ext uri="{FF2B5EF4-FFF2-40B4-BE49-F238E27FC236}">
              <a16:creationId xmlns:a16="http://schemas.microsoft.com/office/drawing/2014/main" id="{30103C6E-A310-80D7-C73A-9B4ECFB77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5845" y="1527175"/>
          <a:ext cx="386080" cy="38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51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4E53F0C-771D-BC4B-909D-456768F1A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6350</xdr:colOff>
      <xdr:row>111</xdr:row>
      <xdr:rowOff>22861</xdr:rowOff>
    </xdr:from>
    <xdr:to>
      <xdr:col>1</xdr:col>
      <xdr:colOff>171450</xdr:colOff>
      <xdr:row>112</xdr:row>
      <xdr:rowOff>3811</xdr:rowOff>
    </xdr:to>
    <xdr:pic macro="[1]!RunArrowDown">
      <xdr:nvPicPr>
        <xdr:cNvPr id="13" name="ArrDwn_6494">
          <a:extLst>
            <a:ext uri="{FF2B5EF4-FFF2-40B4-BE49-F238E27FC236}">
              <a16:creationId xmlns:a16="http://schemas.microsoft.com/office/drawing/2014/main" id="{606EB689-D191-DC2E-2B40-800383F302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0200" y="20857211"/>
          <a:ext cx="165100" cy="165100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143</xdr:row>
      <xdr:rowOff>0</xdr:rowOff>
    </xdr:from>
    <xdr:to>
      <xdr:col>1</xdr:col>
      <xdr:colOff>38100</xdr:colOff>
      <xdr:row>143</xdr:row>
      <xdr:rowOff>25400</xdr:rowOff>
    </xdr:to>
    <xdr:sp macro="" textlink="">
      <xdr:nvSpPr>
        <xdr:cNvPr id="14" name="TX925588" hidden="1">
          <a:extLst>
            <a:ext uri="{FF2B5EF4-FFF2-40B4-BE49-F238E27FC236}">
              <a16:creationId xmlns:a16="http://schemas.microsoft.com/office/drawing/2014/main" id="{82D2EA37-FC40-9C78-B003-C5F43B382D6B}"/>
            </a:ext>
          </a:extLst>
        </xdr:cNvPr>
        <xdr:cNvSpPr txBox="1"/>
      </xdr:nvSpPr>
      <xdr:spPr>
        <a:xfrm>
          <a:off x="336550" y="267335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RunProcHAC
Form17.txt
RefEditT,RefEdit0,'XLSTAT_20260730_142236_1'!$C$112:$G$141,,,,,,
RefEdit_ObsLabels,RefEdit0,'XLSTAT_20260730_142236_1'!$B$112:$B$141,,,,,,
CheckBoxVarLabels,CheckBox,True,,,,,,
CheckBox_ObsLabels,CheckBox,True,,,,,,
</a:t>
          </a:r>
        </a:p>
      </xdr:txBody>
    </xdr:sp>
    <xdr:clientData/>
  </xdr:twoCellAnchor>
  <xdr:twoCellAnchor editAs="oneCell">
    <xdr:from>
      <xdr:col>1</xdr:col>
      <xdr:colOff>25400</xdr:colOff>
      <xdr:row>142</xdr:row>
      <xdr:rowOff>25400</xdr:rowOff>
    </xdr:from>
    <xdr:to>
      <xdr:col>1</xdr:col>
      <xdr:colOff>342900</xdr:colOff>
      <xdr:row>143</xdr:row>
      <xdr:rowOff>158750</xdr:rowOff>
    </xdr:to>
    <xdr:pic macro="[0]!ReRunXLSTAT">
      <xdr:nvPicPr>
        <xdr:cNvPr id="15" name="BT925588">
          <a:extLst>
            <a:ext uri="{FF2B5EF4-FFF2-40B4-BE49-F238E27FC236}">
              <a16:creationId xmlns:a16="http://schemas.microsoft.com/office/drawing/2014/main" id="{DB63BEF5-4012-46CB-B1C3-3526C88EB3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26574750"/>
          <a:ext cx="317500" cy="3175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solidFill>
            <a:srgbClr val="ED7532">
              <a:lumMod val="100000"/>
            </a:srgbClr>
          </a:solidFill>
          <a:prstDash val="solid"/>
          <a:miter lim="800000"/>
          <a:headEnd type="none" w="med" len="med"/>
          <a:tailEnd type="none" w="med" len="med"/>
        </a:ln>
        <a:effectLst>
          <a:outerShdw blurRad="50800" dist="38100" dir="5400000" rotWithShape="0">
            <a:srgbClr val="000000">
              <a:alpha val="40000"/>
            </a:srgbClr>
          </a:outerShdw>
        </a:effectLst>
      </xdr:spPr>
    </xdr:pic>
    <xdr:clientData fPrintsWithSheet="0"/>
  </xdr:twoCellAnchor>
  <xdr:twoCellAnchor>
    <xdr:from>
      <xdr:col>1</xdr:col>
      <xdr:colOff>0</xdr:colOff>
      <xdr:row>146</xdr:row>
      <xdr:rowOff>0</xdr:rowOff>
    </xdr:from>
    <xdr:to>
      <xdr:col>7</xdr:col>
      <xdr:colOff>0</xdr:colOff>
      <xdr:row>164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E799587-BAB8-C0B8-3939-A78B02C17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166</xdr:row>
      <xdr:rowOff>0</xdr:rowOff>
    </xdr:from>
    <xdr:to>
      <xdr:col>7</xdr:col>
      <xdr:colOff>0</xdr:colOff>
      <xdr:row>184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4C8498D-710A-586D-19A1-74F177304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230</xdr:row>
      <xdr:rowOff>0</xdr:rowOff>
    </xdr:from>
    <xdr:to>
      <xdr:col>7</xdr:col>
      <xdr:colOff>0</xdr:colOff>
      <xdr:row>248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93C948D-79D0-5641-720B-C1F2FB033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311150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9" name="XP262480" hidden="1">
          <a:extLst>
            <a:ext uri="{FF2B5EF4-FFF2-40B4-BE49-F238E27FC236}">
              <a16:creationId xmlns:a16="http://schemas.microsoft.com/office/drawing/2014/main" id="{19DCB76E-4188-F8FB-6DF1-7EA246B2F7C8}"/>
            </a:ext>
          </a:extLst>
        </xdr:cNvPr>
        <xdr:cNvSpPr txBox="1"/>
      </xdr:nvSpPr>
      <xdr:spPr>
        <a:xfrm>
          <a:off x="311150" y="3683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PCA*SEP*Summary statistics*SEP*$B$13
PCA*SEP*Principal Component Analysis*SEP*$B$24
PCA*SEP*Eigenvalues*SEP*$B$26
PCA*SEP*Eigenvectors*SEP*$B$54
PCA*SEP*Factor loadings*SEP*$B$65
PCA*SEP*Correlations between variables and factors*SEP*$B$76
PCA*SEP*Contribution of the variables (%)*SEP*$B$87
PCA*SEP*Squared cosines of the variables*SEP*$B$98
PCA*SEP*Factor scores*SEP*$B$110
PCA*SEP*Contribution of the observations (%)*SEP*$B$187
PCA*SEP*Axes homogeneity index*SEP*$B$221
PCA*SEP*Squared cosines of the observations*SEP*$B$251</a:t>
          </a:r>
        </a:p>
      </xdr:txBody>
    </xdr:sp>
    <xdr:clientData/>
  </xdr:twoCellAnchor>
  <xdr:twoCellAnchor editAs="oneCell">
    <xdr:from>
      <xdr:col>0</xdr:col>
      <xdr:colOff>311150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20" name="XP841888" hidden="1">
          <a:extLst>
            <a:ext uri="{FF2B5EF4-FFF2-40B4-BE49-F238E27FC236}">
              <a16:creationId xmlns:a16="http://schemas.microsoft.com/office/drawing/2014/main" id="{23D4E36A-C130-0E97-BCA4-C9EDD3B6E70A}"/>
            </a:ext>
          </a:extLst>
        </xdr:cNvPr>
        <xdr:cNvSpPr txBox="1"/>
      </xdr:nvSpPr>
      <xdr:spPr>
        <a:xfrm>
          <a:off x="311150" y="3683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PCA*SEP*Summary statistics*SEP*$B$13
PCA*SEP*Principal Component Analysis*SEP*$B$24
PCA*SEP*Eigenvalues*SEP*$B$26
PCA*SEP*Eigenvectors*SEP*$B$54
PCA*SEP*Factor loadings*SEP*$B$65
PCA*SEP*Correlations between variables and factors*SEP*$B$76
PCA*SEP*Contribution of the variables (%)*SEP*$B$87
PCA*SEP*Squared cosines of the variables*SEP*$B$98
PCA*SEP*Factor scores*SEP*$B$110
PCA*SEP*Contribution of the observations (%)*SEP*$B$187
PCA*SEP*Axes homogeneity index*SEP*$B$221
PCA*SEP*Squared cosines of the observations*SEP*$B$251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9</xdr:row>
          <xdr:rowOff>0</xdr:rowOff>
        </xdr:from>
        <xdr:to>
          <xdr:col>5</xdr:col>
          <xdr:colOff>6350</xdr:colOff>
          <xdr:row>10</xdr:row>
          <xdr:rowOff>0</xdr:rowOff>
        </xdr:to>
        <xdr:sp macro="" textlink="">
          <xdr:nvSpPr>
            <xdr:cNvPr id="3073" name="DD462374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9B76326B-C5FA-3364-4576-BF2B250277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Addinsoft\XLSTAT\XLSTAT.xla" TargetMode="External"/><Relationship Id="rId1" Type="http://schemas.openxmlformats.org/officeDocument/2006/relationships/externalLinkPath" Target="file:///C:\Program%20Files\Addinsoft\XLSTAT\XLSTAT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ank"/>
    </sheetNames>
    <definedNames>
      <definedName name="RunArrowDown"/>
    </defined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0172-B8A6-4AD2-9A02-B43BFD7FD48A}">
  <sheetPr codeName="Sheet1"/>
  <dimension ref="A1:Q21"/>
  <sheetViews>
    <sheetView workbookViewId="0">
      <selection activeCell="H6" sqref="H6"/>
    </sheetView>
  </sheetViews>
  <sheetFormatPr defaultRowHeight="14.5" x14ac:dyDescent="0.35"/>
  <cols>
    <col min="3" max="3" width="17.08984375" customWidth="1"/>
    <col min="4" max="4" width="10.26953125" customWidth="1"/>
  </cols>
  <sheetData>
    <row r="1" spans="1:14" x14ac:dyDescent="0.35">
      <c r="A1" t="s">
        <v>0</v>
      </c>
    </row>
    <row r="2" spans="1:14" x14ac:dyDescent="0.35">
      <c r="I2" t="s">
        <v>11</v>
      </c>
    </row>
    <row r="3" spans="1:14" ht="15" thickBot="1" x14ac:dyDescent="0.4"/>
    <row r="4" spans="1:14" x14ac:dyDescent="0.35">
      <c r="I4" s="3" t="s">
        <v>12</v>
      </c>
      <c r="J4" s="3"/>
    </row>
    <row r="5" spans="1:14" x14ac:dyDescent="0.35">
      <c r="C5" t="s">
        <v>1</v>
      </c>
      <c r="D5" t="s">
        <v>2</v>
      </c>
      <c r="E5" t="s">
        <v>3</v>
      </c>
      <c r="F5" t="s">
        <v>4</v>
      </c>
      <c r="I5" t="s">
        <v>13</v>
      </c>
      <c r="J5">
        <v>0.15864455651225881</v>
      </c>
    </row>
    <row r="6" spans="1:14" x14ac:dyDescent="0.35">
      <c r="C6" t="s">
        <v>5</v>
      </c>
      <c r="D6" t="s">
        <v>6</v>
      </c>
      <c r="E6">
        <v>2</v>
      </c>
      <c r="F6">
        <v>1</v>
      </c>
      <c r="I6" t="s">
        <v>14</v>
      </c>
      <c r="J6">
        <v>2.5168095310971281E-2</v>
      </c>
    </row>
    <row r="7" spans="1:14" x14ac:dyDescent="0.35">
      <c r="C7" t="s">
        <v>5</v>
      </c>
      <c r="D7" t="s">
        <v>6</v>
      </c>
      <c r="E7">
        <v>3</v>
      </c>
      <c r="F7">
        <v>2</v>
      </c>
      <c r="I7" t="s">
        <v>15</v>
      </c>
      <c r="J7">
        <v>-4.4462755023959341E-2</v>
      </c>
    </row>
    <row r="8" spans="1:14" x14ac:dyDescent="0.35">
      <c r="C8" t="s">
        <v>7</v>
      </c>
      <c r="D8" t="s">
        <v>8</v>
      </c>
      <c r="E8">
        <v>2</v>
      </c>
      <c r="F8">
        <v>0.3</v>
      </c>
      <c r="I8" t="s">
        <v>16</v>
      </c>
      <c r="J8">
        <v>0.50204860162347231</v>
      </c>
    </row>
    <row r="9" spans="1:14" ht="15" thickBot="1" x14ac:dyDescent="0.4">
      <c r="C9" t="s">
        <v>5</v>
      </c>
      <c r="D9" t="s">
        <v>6</v>
      </c>
      <c r="E9">
        <v>5</v>
      </c>
      <c r="F9">
        <v>0.45</v>
      </c>
      <c r="I9" s="1" t="s">
        <v>17</v>
      </c>
      <c r="J9" s="1">
        <v>16</v>
      </c>
    </row>
    <row r="10" spans="1:14" x14ac:dyDescent="0.35">
      <c r="C10" t="s">
        <v>7</v>
      </c>
      <c r="D10" t="s">
        <v>6</v>
      </c>
      <c r="E10">
        <v>2</v>
      </c>
      <c r="F10">
        <v>0.2</v>
      </c>
    </row>
    <row r="11" spans="1:14" ht="15" thickBot="1" x14ac:dyDescent="0.4">
      <c r="C11" t="s">
        <v>5</v>
      </c>
      <c r="D11" t="s">
        <v>8</v>
      </c>
      <c r="E11">
        <v>7</v>
      </c>
      <c r="F11">
        <v>0.6</v>
      </c>
      <c r="I11" t="s">
        <v>18</v>
      </c>
    </row>
    <row r="12" spans="1:14" x14ac:dyDescent="0.35">
      <c r="C12" t="s">
        <v>7</v>
      </c>
      <c r="D12" t="s">
        <v>8</v>
      </c>
      <c r="E12">
        <v>4</v>
      </c>
      <c r="F12">
        <v>1</v>
      </c>
      <c r="I12" s="2"/>
      <c r="J12" s="2" t="s">
        <v>23</v>
      </c>
      <c r="K12" s="2" t="s">
        <v>24</v>
      </c>
      <c r="L12" s="2" t="s">
        <v>25</v>
      </c>
      <c r="M12" s="2" t="s">
        <v>26</v>
      </c>
      <c r="N12" s="2" t="s">
        <v>27</v>
      </c>
    </row>
    <row r="13" spans="1:14" x14ac:dyDescent="0.35">
      <c r="C13" t="s">
        <v>9</v>
      </c>
      <c r="D13" t="s">
        <v>8</v>
      </c>
      <c r="E13">
        <v>6</v>
      </c>
      <c r="F13">
        <v>0.2</v>
      </c>
      <c r="I13" t="s">
        <v>19</v>
      </c>
      <c r="J13">
        <v>1</v>
      </c>
      <c r="K13">
        <v>9.1104572510823711E-2</v>
      </c>
      <c r="L13">
        <v>9.1104572510823711E-2</v>
      </c>
      <c r="M13">
        <v>0.36145035124388819</v>
      </c>
      <c r="N13">
        <v>0.55731162586537575</v>
      </c>
    </row>
    <row r="14" spans="1:14" x14ac:dyDescent="0.35">
      <c r="C14" t="s">
        <v>7</v>
      </c>
      <c r="D14" t="s">
        <v>8</v>
      </c>
      <c r="E14">
        <v>3</v>
      </c>
      <c r="F14">
        <v>0.2</v>
      </c>
      <c r="I14" t="s">
        <v>20</v>
      </c>
      <c r="J14">
        <v>14</v>
      </c>
      <c r="K14">
        <v>3.528739177489177</v>
      </c>
      <c r="L14">
        <v>0.25205279839208405</v>
      </c>
    </row>
    <row r="15" spans="1:14" ht="15" thickBot="1" x14ac:dyDescent="0.4">
      <c r="C15" t="s">
        <v>7</v>
      </c>
      <c r="D15" t="s">
        <v>8</v>
      </c>
      <c r="E15">
        <v>5</v>
      </c>
      <c r="F15">
        <v>0.8</v>
      </c>
      <c r="I15" s="1" t="s">
        <v>21</v>
      </c>
      <c r="J15" s="1">
        <v>15</v>
      </c>
      <c r="K15" s="1">
        <v>3.6198437500000007</v>
      </c>
      <c r="L15" s="1"/>
      <c r="M15" s="1"/>
      <c r="N15" s="1"/>
    </row>
    <row r="16" spans="1:14" ht="15" thickBot="1" x14ac:dyDescent="0.4">
      <c r="C16" t="s">
        <v>5</v>
      </c>
      <c r="D16" t="s">
        <v>8</v>
      </c>
      <c r="E16">
        <v>9</v>
      </c>
      <c r="F16">
        <v>0.2</v>
      </c>
    </row>
    <row r="17" spans="3:17" x14ac:dyDescent="0.35">
      <c r="C17" t="s">
        <v>9</v>
      </c>
      <c r="D17" t="s">
        <v>8</v>
      </c>
      <c r="E17">
        <v>4</v>
      </c>
      <c r="F17">
        <v>0.2</v>
      </c>
      <c r="I17" s="2"/>
      <c r="J17" s="2" t="s">
        <v>28</v>
      </c>
      <c r="K17" s="2" t="s">
        <v>16</v>
      </c>
      <c r="L17" s="2" t="s">
        <v>29</v>
      </c>
      <c r="M17" s="2" t="s">
        <v>30</v>
      </c>
      <c r="N17" s="2" t="s">
        <v>31</v>
      </c>
      <c r="O17" s="2" t="s">
        <v>32</v>
      </c>
      <c r="P17" s="2" t="s">
        <v>33</v>
      </c>
      <c r="Q17" s="2" t="s">
        <v>34</v>
      </c>
    </row>
    <row r="18" spans="3:17" x14ac:dyDescent="0.35">
      <c r="C18" t="s">
        <v>7</v>
      </c>
      <c r="D18" t="s">
        <v>6</v>
      </c>
      <c r="E18">
        <v>3</v>
      </c>
      <c r="F18">
        <v>0.2</v>
      </c>
      <c r="I18" t="s">
        <v>22</v>
      </c>
      <c r="J18">
        <v>0.73571428571428588</v>
      </c>
      <c r="K18">
        <v>0.30003142596834992</v>
      </c>
      <c r="L18">
        <v>2.4521240844680579</v>
      </c>
      <c r="M18">
        <v>2.7929450079556883E-2</v>
      </c>
      <c r="N18">
        <v>9.2210877340372699E-2</v>
      </c>
      <c r="O18">
        <v>1.3792176940881991</v>
      </c>
      <c r="P18">
        <v>9.2210877340372699E-2</v>
      </c>
      <c r="Q18">
        <v>1.3792176940881991</v>
      </c>
    </row>
    <row r="19" spans="3:17" ht="15" thickBot="1" x14ac:dyDescent="0.4">
      <c r="C19" t="s">
        <v>7</v>
      </c>
      <c r="D19" t="s">
        <v>8</v>
      </c>
      <c r="E19">
        <v>3</v>
      </c>
      <c r="F19">
        <v>0.2</v>
      </c>
      <c r="I19" s="1" t="s">
        <v>3</v>
      </c>
      <c r="J19" s="1">
        <v>-3.9718614718614716E-2</v>
      </c>
      <c r="K19" s="1">
        <v>6.6064745678069095E-2</v>
      </c>
      <c r="L19" s="1">
        <v>-0.60120741116846133</v>
      </c>
      <c r="M19" s="1">
        <v>0.5573116258653783</v>
      </c>
      <c r="N19" s="1">
        <v>-0.1814134017896126</v>
      </c>
      <c r="O19" s="1">
        <v>0.10197617235238318</v>
      </c>
      <c r="P19" s="1">
        <v>-0.1814134017896126</v>
      </c>
      <c r="Q19" s="1">
        <v>0.10197617235238318</v>
      </c>
    </row>
    <row r="20" spans="3:17" x14ac:dyDescent="0.35">
      <c r="C20" t="s">
        <v>7</v>
      </c>
      <c r="D20" t="s">
        <v>10</v>
      </c>
      <c r="E20">
        <v>5</v>
      </c>
      <c r="F20">
        <v>0.8</v>
      </c>
    </row>
    <row r="21" spans="3:17" x14ac:dyDescent="0.35">
      <c r="C21" t="s">
        <v>7</v>
      </c>
      <c r="D21" t="s">
        <v>10</v>
      </c>
      <c r="E21">
        <v>3</v>
      </c>
      <c r="F21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F82B-BFAB-4F6D-9F12-73F41D3A2436}">
  <sheetPr codeName="Sheet2"/>
  <dimension ref="A1:F31"/>
  <sheetViews>
    <sheetView topLeftCell="A14" workbookViewId="0">
      <selection activeCell="I15" sqref="I15"/>
    </sheetView>
  </sheetViews>
  <sheetFormatPr defaultRowHeight="14.5" x14ac:dyDescent="0.35"/>
  <sheetData>
    <row r="1" spans="1:6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35">
      <c r="A2">
        <v>82</v>
      </c>
      <c r="B2">
        <v>75</v>
      </c>
      <c r="C2">
        <v>65</v>
      </c>
      <c r="D2">
        <v>22</v>
      </c>
      <c r="E2">
        <v>88</v>
      </c>
      <c r="F2">
        <v>18</v>
      </c>
    </row>
    <row r="3" spans="1:6" x14ac:dyDescent="0.35">
      <c r="A3">
        <v>78</v>
      </c>
      <c r="B3">
        <v>70</v>
      </c>
      <c r="C3">
        <v>62</v>
      </c>
      <c r="D3">
        <v>24</v>
      </c>
      <c r="E3">
        <v>85</v>
      </c>
      <c r="F3">
        <v>20</v>
      </c>
    </row>
    <row r="4" spans="1:6" x14ac:dyDescent="0.35">
      <c r="A4">
        <v>91</v>
      </c>
      <c r="B4">
        <v>85</v>
      </c>
      <c r="C4">
        <v>70</v>
      </c>
      <c r="D4">
        <v>18</v>
      </c>
      <c r="E4">
        <v>94</v>
      </c>
      <c r="F4">
        <v>15</v>
      </c>
    </row>
    <row r="5" spans="1:6" x14ac:dyDescent="0.35">
      <c r="A5">
        <v>88</v>
      </c>
      <c r="B5">
        <v>82</v>
      </c>
      <c r="C5">
        <v>68</v>
      </c>
      <c r="D5">
        <v>20</v>
      </c>
      <c r="E5">
        <v>91</v>
      </c>
      <c r="F5">
        <v>16</v>
      </c>
    </row>
    <row r="6" spans="1:6" x14ac:dyDescent="0.35">
      <c r="A6">
        <v>76</v>
      </c>
      <c r="B6">
        <v>69</v>
      </c>
      <c r="C6">
        <v>60</v>
      </c>
      <c r="D6">
        <v>26</v>
      </c>
      <c r="E6">
        <v>84</v>
      </c>
      <c r="F6">
        <v>22</v>
      </c>
    </row>
    <row r="7" spans="1:6" x14ac:dyDescent="0.35">
      <c r="A7">
        <v>95</v>
      </c>
      <c r="B7">
        <v>90</v>
      </c>
      <c r="C7">
        <v>74</v>
      </c>
      <c r="D7">
        <v>15</v>
      </c>
      <c r="E7">
        <v>97</v>
      </c>
      <c r="F7">
        <v>12</v>
      </c>
    </row>
    <row r="8" spans="1:6" x14ac:dyDescent="0.35">
      <c r="A8">
        <v>84</v>
      </c>
      <c r="B8">
        <v>77</v>
      </c>
      <c r="C8">
        <v>66</v>
      </c>
      <c r="D8">
        <v>21</v>
      </c>
      <c r="E8">
        <v>89</v>
      </c>
      <c r="F8">
        <v>17</v>
      </c>
    </row>
    <row r="9" spans="1:6" x14ac:dyDescent="0.35">
      <c r="A9">
        <v>73</v>
      </c>
      <c r="B9">
        <v>67</v>
      </c>
      <c r="C9">
        <v>58</v>
      </c>
      <c r="D9">
        <v>28</v>
      </c>
      <c r="E9">
        <v>82</v>
      </c>
      <c r="F9">
        <v>24</v>
      </c>
    </row>
    <row r="10" spans="1:6" x14ac:dyDescent="0.35">
      <c r="A10">
        <v>90</v>
      </c>
      <c r="B10">
        <v>84</v>
      </c>
      <c r="C10">
        <v>72</v>
      </c>
      <c r="D10">
        <v>17</v>
      </c>
      <c r="E10">
        <v>95</v>
      </c>
      <c r="F10">
        <v>14</v>
      </c>
    </row>
    <row r="11" spans="1:6" x14ac:dyDescent="0.35">
      <c r="A11">
        <v>87</v>
      </c>
      <c r="B11">
        <v>80</v>
      </c>
      <c r="C11">
        <v>69</v>
      </c>
      <c r="D11">
        <v>19</v>
      </c>
      <c r="E11">
        <v>92</v>
      </c>
      <c r="F11">
        <v>16</v>
      </c>
    </row>
    <row r="12" spans="1:6" x14ac:dyDescent="0.35">
      <c r="A12">
        <v>79</v>
      </c>
      <c r="B12">
        <v>73</v>
      </c>
      <c r="C12">
        <v>63</v>
      </c>
      <c r="D12">
        <v>23</v>
      </c>
      <c r="E12">
        <v>86</v>
      </c>
      <c r="F12">
        <v>19</v>
      </c>
    </row>
    <row r="13" spans="1:6" x14ac:dyDescent="0.35">
      <c r="A13">
        <v>93</v>
      </c>
      <c r="B13">
        <v>88</v>
      </c>
      <c r="C13">
        <v>73</v>
      </c>
      <c r="D13">
        <v>16</v>
      </c>
      <c r="E13">
        <v>96</v>
      </c>
      <c r="F13">
        <v>13</v>
      </c>
    </row>
    <row r="14" spans="1:6" x14ac:dyDescent="0.35">
      <c r="A14">
        <v>81</v>
      </c>
      <c r="B14">
        <v>74</v>
      </c>
      <c r="C14">
        <v>64</v>
      </c>
      <c r="D14">
        <v>22</v>
      </c>
      <c r="E14">
        <v>87</v>
      </c>
      <c r="F14">
        <v>18</v>
      </c>
    </row>
    <row r="15" spans="1:6" x14ac:dyDescent="0.35">
      <c r="A15">
        <v>77</v>
      </c>
      <c r="B15">
        <v>71</v>
      </c>
      <c r="C15">
        <v>61</v>
      </c>
      <c r="D15">
        <v>25</v>
      </c>
      <c r="E15">
        <v>84</v>
      </c>
      <c r="F15">
        <v>21</v>
      </c>
    </row>
    <row r="16" spans="1:6" x14ac:dyDescent="0.35">
      <c r="A16">
        <v>89</v>
      </c>
      <c r="B16">
        <v>83</v>
      </c>
      <c r="C16">
        <v>71</v>
      </c>
      <c r="D16">
        <v>18</v>
      </c>
      <c r="E16">
        <v>93</v>
      </c>
      <c r="F16">
        <v>15</v>
      </c>
    </row>
    <row r="17" spans="1:6" x14ac:dyDescent="0.35">
      <c r="A17">
        <v>75</v>
      </c>
      <c r="B17">
        <v>68</v>
      </c>
      <c r="C17">
        <v>59</v>
      </c>
      <c r="D17">
        <v>27</v>
      </c>
      <c r="E17">
        <v>83</v>
      </c>
      <c r="F17">
        <v>23</v>
      </c>
    </row>
    <row r="18" spans="1:6" x14ac:dyDescent="0.35">
      <c r="A18">
        <v>92</v>
      </c>
      <c r="B18">
        <v>87</v>
      </c>
      <c r="C18">
        <v>72</v>
      </c>
      <c r="D18">
        <v>16</v>
      </c>
      <c r="E18">
        <v>96</v>
      </c>
      <c r="F18">
        <v>13</v>
      </c>
    </row>
    <row r="19" spans="1:6" x14ac:dyDescent="0.35">
      <c r="A19">
        <v>86</v>
      </c>
      <c r="B19">
        <v>79</v>
      </c>
      <c r="C19">
        <v>67</v>
      </c>
      <c r="D19">
        <v>20</v>
      </c>
      <c r="E19">
        <v>90</v>
      </c>
      <c r="F19">
        <v>17</v>
      </c>
    </row>
    <row r="20" spans="1:6" x14ac:dyDescent="0.35">
      <c r="A20">
        <v>80</v>
      </c>
      <c r="B20">
        <v>72</v>
      </c>
      <c r="C20">
        <v>63</v>
      </c>
      <c r="D20">
        <v>23</v>
      </c>
      <c r="E20">
        <v>86</v>
      </c>
      <c r="F20">
        <v>19</v>
      </c>
    </row>
    <row r="21" spans="1:6" x14ac:dyDescent="0.35">
      <c r="A21">
        <v>94</v>
      </c>
      <c r="B21">
        <v>89</v>
      </c>
      <c r="C21">
        <v>74</v>
      </c>
      <c r="D21">
        <v>15</v>
      </c>
      <c r="E21">
        <v>97</v>
      </c>
      <c r="F21">
        <v>12</v>
      </c>
    </row>
    <row r="22" spans="1:6" x14ac:dyDescent="0.35">
      <c r="A22">
        <v>83</v>
      </c>
      <c r="B22">
        <v>76</v>
      </c>
      <c r="C22">
        <v>65</v>
      </c>
      <c r="D22">
        <v>21</v>
      </c>
      <c r="E22">
        <v>88</v>
      </c>
      <c r="F22">
        <v>18</v>
      </c>
    </row>
    <row r="23" spans="1:6" x14ac:dyDescent="0.35">
      <c r="A23">
        <v>74</v>
      </c>
      <c r="B23">
        <v>68</v>
      </c>
      <c r="C23">
        <v>58</v>
      </c>
      <c r="D23">
        <v>27</v>
      </c>
      <c r="E23">
        <v>82</v>
      </c>
      <c r="F23">
        <v>23</v>
      </c>
    </row>
    <row r="24" spans="1:6" x14ac:dyDescent="0.35">
      <c r="A24">
        <v>91</v>
      </c>
      <c r="B24">
        <v>86</v>
      </c>
      <c r="C24">
        <v>71</v>
      </c>
      <c r="D24">
        <v>17</v>
      </c>
      <c r="E24">
        <v>95</v>
      </c>
      <c r="F24">
        <v>14</v>
      </c>
    </row>
    <row r="25" spans="1:6" x14ac:dyDescent="0.35">
      <c r="A25">
        <v>85</v>
      </c>
      <c r="B25">
        <v>78</v>
      </c>
      <c r="C25">
        <v>67</v>
      </c>
      <c r="D25">
        <v>20</v>
      </c>
      <c r="E25">
        <v>90</v>
      </c>
      <c r="F25">
        <v>17</v>
      </c>
    </row>
    <row r="26" spans="1:6" x14ac:dyDescent="0.35">
      <c r="A26">
        <v>79</v>
      </c>
      <c r="B26">
        <v>72</v>
      </c>
      <c r="C26">
        <v>62</v>
      </c>
      <c r="D26">
        <v>24</v>
      </c>
      <c r="E26">
        <v>85</v>
      </c>
      <c r="F26">
        <v>20</v>
      </c>
    </row>
    <row r="27" spans="1:6" x14ac:dyDescent="0.35">
      <c r="A27">
        <v>96</v>
      </c>
      <c r="B27">
        <v>91</v>
      </c>
      <c r="C27">
        <v>75</v>
      </c>
      <c r="D27">
        <v>14</v>
      </c>
      <c r="E27">
        <v>98</v>
      </c>
      <c r="F27">
        <v>11</v>
      </c>
    </row>
    <row r="28" spans="1:6" x14ac:dyDescent="0.35">
      <c r="A28">
        <v>82</v>
      </c>
      <c r="B28">
        <v>75</v>
      </c>
      <c r="C28">
        <v>64</v>
      </c>
      <c r="D28">
        <v>22</v>
      </c>
      <c r="E28">
        <v>88</v>
      </c>
      <c r="F28">
        <v>18</v>
      </c>
    </row>
    <row r="29" spans="1:6" x14ac:dyDescent="0.35">
      <c r="A29">
        <v>76</v>
      </c>
      <c r="B29">
        <v>70</v>
      </c>
      <c r="C29">
        <v>60</v>
      </c>
      <c r="D29">
        <v>25</v>
      </c>
      <c r="E29">
        <v>84</v>
      </c>
      <c r="F29">
        <v>21</v>
      </c>
    </row>
    <row r="30" spans="1:6" x14ac:dyDescent="0.35">
      <c r="A30">
        <v>90</v>
      </c>
      <c r="B30">
        <v>84</v>
      </c>
      <c r="C30">
        <v>71</v>
      </c>
      <c r="D30">
        <v>18</v>
      </c>
      <c r="E30">
        <v>94</v>
      </c>
      <c r="F30">
        <v>15</v>
      </c>
    </row>
    <row r="31" spans="1:6" x14ac:dyDescent="0.35">
      <c r="A31">
        <v>88</v>
      </c>
      <c r="B31">
        <v>81</v>
      </c>
      <c r="C31">
        <v>69</v>
      </c>
      <c r="D31">
        <v>19</v>
      </c>
      <c r="E31">
        <v>92</v>
      </c>
      <c r="F3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78233-2D03-4557-85B3-D9BEA6373F84}">
  <sheetPr codeName="XLSTAT_20260730_142236_1">
    <tabColor rgb="FF007800"/>
  </sheetPr>
  <dimension ref="B1:M283"/>
  <sheetViews>
    <sheetView tabSelected="1" zoomScaleNormal="100" workbookViewId="0">
      <selection activeCell="H6" sqref="H6"/>
    </sheetView>
  </sheetViews>
  <sheetFormatPr defaultRowHeight="14.5" x14ac:dyDescent="0.35"/>
  <cols>
    <col min="1" max="1" width="4.6328125" customWidth="1"/>
  </cols>
  <sheetData>
    <row r="1" spans="2:13" x14ac:dyDescent="0.35">
      <c r="B1" s="6" t="s">
        <v>41</v>
      </c>
      <c r="C1" s="5"/>
      <c r="D1" s="5"/>
      <c r="E1" s="5"/>
      <c r="F1" s="5"/>
      <c r="G1" s="5"/>
      <c r="H1" s="5"/>
      <c r="I1" s="5"/>
      <c r="J1" s="5"/>
      <c r="K1" s="5"/>
      <c r="L1" s="5"/>
      <c r="M1" s="4"/>
    </row>
    <row r="2" spans="2:13" x14ac:dyDescent="0.3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"/>
    </row>
    <row r="3" spans="2:13" x14ac:dyDescent="0.35">
      <c r="B3" t="s">
        <v>114</v>
      </c>
    </row>
    <row r="4" spans="2:13" x14ac:dyDescent="0.35">
      <c r="B4" t="s">
        <v>42</v>
      </c>
    </row>
    <row r="5" spans="2:13" x14ac:dyDescent="0.35">
      <c r="B5" t="s">
        <v>43</v>
      </c>
    </row>
    <row r="6" spans="2:13" x14ac:dyDescent="0.35">
      <c r="B6" t="s">
        <v>44</v>
      </c>
    </row>
    <row r="7" spans="2:13" x14ac:dyDescent="0.35">
      <c r="B7" t="s">
        <v>45</v>
      </c>
    </row>
    <row r="8" spans="2:13" x14ac:dyDescent="0.35">
      <c r="B8" t="s">
        <v>46</v>
      </c>
    </row>
    <row r="9" spans="2:13" ht="38" customHeight="1" x14ac:dyDescent="0.35"/>
    <row r="10" spans="2:13" ht="16" customHeight="1" x14ac:dyDescent="0.35">
      <c r="B10" s="32"/>
    </row>
    <row r="13" spans="2:13" x14ac:dyDescent="0.35">
      <c r="B13" s="8" t="s">
        <v>47</v>
      </c>
    </row>
    <row r="14" spans="2:13" ht="15" thickBot="1" x14ac:dyDescent="0.4"/>
    <row r="15" spans="2:13" x14ac:dyDescent="0.35">
      <c r="B15" s="11" t="s">
        <v>48</v>
      </c>
      <c r="C15" s="12" t="s">
        <v>17</v>
      </c>
      <c r="D15" s="12" t="s">
        <v>49</v>
      </c>
      <c r="E15" s="12" t="s">
        <v>50</v>
      </c>
      <c r="F15" s="12" t="s">
        <v>51</v>
      </c>
      <c r="G15" s="12" t="s">
        <v>52</v>
      </c>
      <c r="H15" s="12" t="s">
        <v>53</v>
      </c>
      <c r="I15" s="12" t="s">
        <v>54</v>
      </c>
    </row>
    <row r="16" spans="2:13" x14ac:dyDescent="0.35">
      <c r="B16" s="13" t="s">
        <v>55</v>
      </c>
      <c r="C16" s="15">
        <v>29</v>
      </c>
      <c r="D16" s="15">
        <v>0</v>
      </c>
      <c r="E16" s="15">
        <v>29</v>
      </c>
      <c r="F16" s="18">
        <v>73</v>
      </c>
      <c r="G16" s="18">
        <v>96</v>
      </c>
      <c r="H16" s="18">
        <v>84.551724137931018</v>
      </c>
      <c r="I16" s="18">
        <v>6.9105830170447975</v>
      </c>
    </row>
    <row r="17" spans="2:9" x14ac:dyDescent="0.35">
      <c r="B17" s="10" t="s">
        <v>56</v>
      </c>
      <c r="C17" s="16">
        <v>29</v>
      </c>
      <c r="D17" s="16">
        <v>0</v>
      </c>
      <c r="E17" s="16">
        <v>29</v>
      </c>
      <c r="F17" s="19">
        <v>67</v>
      </c>
      <c r="G17" s="19">
        <v>91</v>
      </c>
      <c r="H17" s="19">
        <v>78.241379310344826</v>
      </c>
      <c r="I17" s="19">
        <v>7.4625501788874962</v>
      </c>
    </row>
    <row r="18" spans="2:9" x14ac:dyDescent="0.35">
      <c r="B18" s="10" t="s">
        <v>57</v>
      </c>
      <c r="C18" s="16">
        <v>29</v>
      </c>
      <c r="D18" s="16">
        <v>0</v>
      </c>
      <c r="E18" s="16">
        <v>29</v>
      </c>
      <c r="F18" s="19">
        <v>58</v>
      </c>
      <c r="G18" s="19">
        <v>75</v>
      </c>
      <c r="H18" s="19">
        <v>66.482758620689651</v>
      </c>
      <c r="I18" s="19">
        <v>5.2482697125213997</v>
      </c>
    </row>
    <row r="19" spans="2:9" x14ac:dyDescent="0.35">
      <c r="B19" s="10" t="s">
        <v>58</v>
      </c>
      <c r="C19" s="16">
        <v>29</v>
      </c>
      <c r="D19" s="16">
        <v>0</v>
      </c>
      <c r="E19" s="16">
        <v>29</v>
      </c>
      <c r="F19" s="19">
        <v>14</v>
      </c>
      <c r="G19" s="19">
        <v>28</v>
      </c>
      <c r="H19" s="19">
        <v>20.689655172413794</v>
      </c>
      <c r="I19" s="19">
        <v>3.9830305070014758</v>
      </c>
    </row>
    <row r="20" spans="2:9" x14ac:dyDescent="0.35">
      <c r="B20" s="10" t="s">
        <v>59</v>
      </c>
      <c r="C20" s="16">
        <v>29</v>
      </c>
      <c r="D20" s="16">
        <v>0</v>
      </c>
      <c r="E20" s="16">
        <v>29</v>
      </c>
      <c r="F20" s="19">
        <v>82</v>
      </c>
      <c r="G20" s="19">
        <v>98</v>
      </c>
      <c r="H20" s="19">
        <v>89.758620689655189</v>
      </c>
      <c r="I20" s="19">
        <v>5.0614451099449074</v>
      </c>
    </row>
    <row r="21" spans="2:9" ht="15" thickBot="1" x14ac:dyDescent="0.4">
      <c r="B21" s="14" t="s">
        <v>60</v>
      </c>
      <c r="C21" s="17">
        <v>29</v>
      </c>
      <c r="D21" s="17">
        <v>0</v>
      </c>
      <c r="E21" s="17">
        <v>29</v>
      </c>
      <c r="F21" s="20">
        <v>11</v>
      </c>
      <c r="G21" s="20">
        <v>24</v>
      </c>
      <c r="H21" s="20">
        <v>17.206896551724135</v>
      </c>
      <c r="I21" s="20">
        <v>3.5695068721526262</v>
      </c>
    </row>
    <row r="24" spans="2:9" x14ac:dyDescent="0.35">
      <c r="B24" s="7" t="s">
        <v>61</v>
      </c>
    </row>
    <row r="26" spans="2:9" x14ac:dyDescent="0.35">
      <c r="B26" s="8" t="s">
        <v>62</v>
      </c>
    </row>
    <row r="27" spans="2:9" ht="15" thickBot="1" x14ac:dyDescent="0.4"/>
    <row r="28" spans="2:9" x14ac:dyDescent="0.35">
      <c r="B28" s="21"/>
      <c r="C28" s="22" t="s">
        <v>63</v>
      </c>
      <c r="D28" s="22" t="s">
        <v>64</v>
      </c>
      <c r="E28" s="22" t="s">
        <v>65</v>
      </c>
      <c r="F28" s="22" t="s">
        <v>66</v>
      </c>
      <c r="G28" s="22" t="s">
        <v>67</v>
      </c>
      <c r="H28" s="22" t="s">
        <v>68</v>
      </c>
    </row>
    <row r="29" spans="2:9" x14ac:dyDescent="0.35">
      <c r="B29" s="23" t="s">
        <v>69</v>
      </c>
      <c r="C29" s="25">
        <v>5.9546010811874766</v>
      </c>
      <c r="D29" s="25">
        <v>2.6126542555525458E-2</v>
      </c>
      <c r="E29" s="25">
        <v>9.9184936179295344E-3</v>
      </c>
      <c r="F29" s="25">
        <v>4.5396268521845527E-3</v>
      </c>
      <c r="G29" s="25">
        <v>2.8109024752378409E-3</v>
      </c>
      <c r="H29" s="25">
        <v>2.0033533116527186E-3</v>
      </c>
    </row>
    <row r="30" spans="2:9" x14ac:dyDescent="0.35">
      <c r="B30" s="9" t="s">
        <v>70</v>
      </c>
      <c r="C30" s="26">
        <v>99.243351353124481</v>
      </c>
      <c r="D30" s="26">
        <v>0.43544237592542379</v>
      </c>
      <c r="E30" s="26">
        <v>0.16530822696549202</v>
      </c>
      <c r="F30" s="26">
        <v>7.5660447536409117E-2</v>
      </c>
      <c r="G30" s="26">
        <v>4.6848374587297292E-2</v>
      </c>
      <c r="H30" s="26">
        <v>3.3389221860878601E-2</v>
      </c>
    </row>
    <row r="31" spans="2:9" ht="15" thickBot="1" x14ac:dyDescent="0.4">
      <c r="B31" s="24" t="s">
        <v>71</v>
      </c>
      <c r="C31" s="27">
        <v>99.243351353124481</v>
      </c>
      <c r="D31" s="27">
        <v>99.6787937290499</v>
      </c>
      <c r="E31" s="27">
        <v>99.844101956015393</v>
      </c>
      <c r="F31" s="27">
        <v>99.9197624035518</v>
      </c>
      <c r="G31" s="27">
        <v>99.966610778139099</v>
      </c>
      <c r="H31" s="27">
        <v>99.999999999999972</v>
      </c>
    </row>
    <row r="51" spans="2:7" x14ac:dyDescent="0.35">
      <c r="G51" t="s">
        <v>72</v>
      </c>
    </row>
    <row r="54" spans="2:7" x14ac:dyDescent="0.35">
      <c r="B54" s="8" t="s">
        <v>73</v>
      </c>
    </row>
    <row r="55" spans="2:7" ht="15" thickBot="1" x14ac:dyDescent="0.4"/>
    <row r="56" spans="2:7" x14ac:dyDescent="0.35">
      <c r="B56" s="21"/>
      <c r="C56" s="22" t="s">
        <v>63</v>
      </c>
      <c r="D56" s="22" t="s">
        <v>64</v>
      </c>
      <c r="E56" s="22" t="s">
        <v>65</v>
      </c>
      <c r="F56" s="22" t="s">
        <v>66</v>
      </c>
      <c r="G56" s="22" t="s">
        <v>67</v>
      </c>
    </row>
    <row r="57" spans="2:7" x14ac:dyDescent="0.35">
      <c r="B57" s="23" t="s">
        <v>55</v>
      </c>
      <c r="C57" s="25">
        <v>0.408805214705043</v>
      </c>
      <c r="D57" s="25">
        <v>0.24462429237417574</v>
      </c>
      <c r="E57" s="25">
        <v>-0.21506186560222562</v>
      </c>
      <c r="F57" s="25">
        <v>-0.69429050787439073</v>
      </c>
      <c r="G57" s="25">
        <v>-0.43972394449477997</v>
      </c>
    </row>
    <row r="58" spans="2:7" x14ac:dyDescent="0.35">
      <c r="B58" s="9" t="s">
        <v>56</v>
      </c>
      <c r="C58" s="26">
        <v>0.40758118592293852</v>
      </c>
      <c r="D58" s="26">
        <v>0.53185432173520375</v>
      </c>
      <c r="E58" s="26">
        <v>-0.50713604231583098</v>
      </c>
      <c r="F58" s="26">
        <v>0.24119220741045685</v>
      </c>
      <c r="G58" s="26">
        <v>0.40086935059263401</v>
      </c>
    </row>
    <row r="59" spans="2:7" x14ac:dyDescent="0.35">
      <c r="B59" s="9" t="s">
        <v>57</v>
      </c>
      <c r="C59" s="26">
        <v>0.40870886228445852</v>
      </c>
      <c r="D59" s="26">
        <v>-1.4967076545426589E-3</v>
      </c>
      <c r="E59" s="26">
        <v>0.62864799985542597</v>
      </c>
      <c r="F59" s="26">
        <v>-0.31881054238390172</v>
      </c>
      <c r="G59" s="26">
        <v>0.57968581286367937</v>
      </c>
    </row>
    <row r="60" spans="2:7" x14ac:dyDescent="0.35">
      <c r="B60" s="9" t="s">
        <v>58</v>
      </c>
      <c r="C60" s="26">
        <v>-0.40845958528663856</v>
      </c>
      <c r="D60" s="26">
        <v>0.44547951931744262</v>
      </c>
      <c r="E60" s="26">
        <v>-3.2490733742913211E-2</v>
      </c>
      <c r="F60" s="26">
        <v>-2.3062839613253911E-2</v>
      </c>
      <c r="G60" s="26">
        <v>0.30026667543918678</v>
      </c>
    </row>
    <row r="61" spans="2:7" x14ac:dyDescent="0.35">
      <c r="B61" s="9" t="s">
        <v>59</v>
      </c>
      <c r="C61" s="26">
        <v>0.40857823919305325</v>
      </c>
      <c r="D61" s="26">
        <v>0.28444609889155259</v>
      </c>
      <c r="E61" s="26">
        <v>0.4157243850129349</v>
      </c>
      <c r="F61" s="26">
        <v>0.5701871994535177</v>
      </c>
      <c r="G61" s="26">
        <v>-0.42869897390015654</v>
      </c>
    </row>
    <row r="62" spans="2:7" ht="15" thickBot="1" x14ac:dyDescent="0.4">
      <c r="B62" s="24" t="s">
        <v>60</v>
      </c>
      <c r="C62" s="27">
        <v>-0.40735430382792037</v>
      </c>
      <c r="D62" s="27">
        <v>0.61475695245543538</v>
      </c>
      <c r="E62" s="27">
        <v>0.35704440725512437</v>
      </c>
      <c r="F62" s="27">
        <v>-0.18028175402187033</v>
      </c>
      <c r="G62" s="27">
        <v>-0.18965254587170105</v>
      </c>
    </row>
    <row r="65" spans="2:7" x14ac:dyDescent="0.35">
      <c r="B65" s="8" t="s">
        <v>74</v>
      </c>
    </row>
    <row r="66" spans="2:7" ht="15" thickBot="1" x14ac:dyDescent="0.4"/>
    <row r="67" spans="2:7" x14ac:dyDescent="0.35">
      <c r="B67" s="21"/>
      <c r="C67" s="22" t="s">
        <v>63</v>
      </c>
      <c r="D67" s="22" t="s">
        <v>64</v>
      </c>
      <c r="E67" s="22" t="s">
        <v>65</v>
      </c>
      <c r="F67" s="22" t="s">
        <v>66</v>
      </c>
      <c r="G67" s="22" t="s">
        <v>67</v>
      </c>
    </row>
    <row r="68" spans="2:7" x14ac:dyDescent="0.35">
      <c r="B68" s="23" t="s">
        <v>55</v>
      </c>
      <c r="C68" s="25">
        <v>0.99756858248845781</v>
      </c>
      <c r="D68" s="25">
        <v>3.9540353989246053E-2</v>
      </c>
      <c r="E68" s="25">
        <v>-2.1418362665949268E-2</v>
      </c>
      <c r="F68" s="25">
        <v>-4.6779040097226263E-2</v>
      </c>
      <c r="G68" s="25">
        <v>-2.3313259834800228E-2</v>
      </c>
    </row>
    <row r="69" spans="2:7" x14ac:dyDescent="0.35">
      <c r="B69" s="9" t="s">
        <v>56</v>
      </c>
      <c r="C69" s="26">
        <v>0.99458170117391775</v>
      </c>
      <c r="D69" s="26">
        <v>8.5967374490974136E-2</v>
      </c>
      <c r="E69" s="26">
        <v>-5.0506507254916393E-2</v>
      </c>
      <c r="F69" s="26">
        <v>1.6250747797395378E-2</v>
      </c>
      <c r="G69" s="26">
        <v>2.1253269118449492E-2</v>
      </c>
    </row>
    <row r="70" spans="2:7" x14ac:dyDescent="0.35">
      <c r="B70" s="9" t="s">
        <v>57</v>
      </c>
      <c r="C70" s="26">
        <v>0.99733346281736668</v>
      </c>
      <c r="D70" s="26">
        <v>-2.4192344065530923E-4</v>
      </c>
      <c r="E70" s="26">
        <v>6.260808169046124E-2</v>
      </c>
      <c r="F70" s="26">
        <v>-2.1480419185412703E-2</v>
      </c>
      <c r="G70" s="26">
        <v>3.0733750451924207E-2</v>
      </c>
    </row>
    <row r="71" spans="2:7" x14ac:dyDescent="0.35">
      <c r="B71" s="9" t="s">
        <v>58</v>
      </c>
      <c r="C71" s="26">
        <v>-0.99672517580825493</v>
      </c>
      <c r="D71" s="26">
        <v>7.2006004464298889E-2</v>
      </c>
      <c r="E71" s="26">
        <v>-3.2358052723100192E-3</v>
      </c>
      <c r="F71" s="26">
        <v>-1.5538992493607403E-3</v>
      </c>
      <c r="G71" s="26">
        <v>1.5919522036236283E-2</v>
      </c>
    </row>
    <row r="72" spans="2:7" x14ac:dyDescent="0.35">
      <c r="B72" s="9" t="s">
        <v>59</v>
      </c>
      <c r="C72" s="26">
        <v>0.99701471567949707</v>
      </c>
      <c r="D72" s="26">
        <v>4.5977034136203396E-2</v>
      </c>
      <c r="E72" s="26">
        <v>4.1402670912167601E-2</v>
      </c>
      <c r="F72" s="26">
        <v>3.8417362132490557E-2</v>
      </c>
      <c r="G72" s="26">
        <v>-2.2728738551933088E-2</v>
      </c>
    </row>
    <row r="73" spans="2:7" ht="15" thickBot="1" x14ac:dyDescent="0.4">
      <c r="B73" s="24" t="s">
        <v>60</v>
      </c>
      <c r="C73" s="27">
        <v>-0.9940280623215304</v>
      </c>
      <c r="D73" s="27">
        <v>9.9367512856233867E-2</v>
      </c>
      <c r="E73" s="27">
        <v>3.5558636027939308E-2</v>
      </c>
      <c r="F73" s="27">
        <v>-1.2146799220987051E-2</v>
      </c>
      <c r="G73" s="27">
        <v>-1.0054988216114356E-2</v>
      </c>
    </row>
    <row r="76" spans="2:7" x14ac:dyDescent="0.35">
      <c r="B76" s="8" t="s">
        <v>75</v>
      </c>
    </row>
    <row r="77" spans="2:7" ht="15" thickBot="1" x14ac:dyDescent="0.4"/>
    <row r="78" spans="2:7" x14ac:dyDescent="0.35">
      <c r="B78" s="21"/>
      <c r="C78" s="22" t="s">
        <v>63</v>
      </c>
      <c r="D78" s="22" t="s">
        <v>64</v>
      </c>
      <c r="E78" s="22" t="s">
        <v>65</v>
      </c>
      <c r="F78" s="22" t="s">
        <v>66</v>
      </c>
      <c r="G78" s="22" t="s">
        <v>67</v>
      </c>
    </row>
    <row r="79" spans="2:7" x14ac:dyDescent="0.35">
      <c r="B79" s="23" t="s">
        <v>55</v>
      </c>
      <c r="C79" s="25">
        <v>0.99756858248845781</v>
      </c>
      <c r="D79" s="25">
        <v>3.9540353989246053E-2</v>
      </c>
      <c r="E79" s="25">
        <v>-2.1418362665949268E-2</v>
      </c>
      <c r="F79" s="25">
        <v>-4.6779040097226263E-2</v>
      </c>
      <c r="G79" s="25">
        <v>-2.3313259834800228E-2</v>
      </c>
    </row>
    <row r="80" spans="2:7" x14ac:dyDescent="0.35">
      <c r="B80" s="9" t="s">
        <v>56</v>
      </c>
      <c r="C80" s="26">
        <v>0.99458170117391775</v>
      </c>
      <c r="D80" s="26">
        <v>8.5967374490974136E-2</v>
      </c>
      <c r="E80" s="26">
        <v>-5.0506507254916393E-2</v>
      </c>
      <c r="F80" s="26">
        <v>1.6250747797395378E-2</v>
      </c>
      <c r="G80" s="26">
        <v>2.1253269118449492E-2</v>
      </c>
    </row>
    <row r="81" spans="2:7" x14ac:dyDescent="0.35">
      <c r="B81" s="9" t="s">
        <v>57</v>
      </c>
      <c r="C81" s="26">
        <v>0.99733346281736668</v>
      </c>
      <c r="D81" s="26">
        <v>-2.4192344065530923E-4</v>
      </c>
      <c r="E81" s="26">
        <v>6.260808169046124E-2</v>
      </c>
      <c r="F81" s="26">
        <v>-2.1480419185412703E-2</v>
      </c>
      <c r="G81" s="26">
        <v>3.0733750451924207E-2</v>
      </c>
    </row>
    <row r="82" spans="2:7" x14ac:dyDescent="0.35">
      <c r="B82" s="9" t="s">
        <v>58</v>
      </c>
      <c r="C82" s="26">
        <v>-0.99672517580825493</v>
      </c>
      <c r="D82" s="26">
        <v>7.2006004464298889E-2</v>
      </c>
      <c r="E82" s="26">
        <v>-3.2358052723100192E-3</v>
      </c>
      <c r="F82" s="26">
        <v>-1.5538992493607403E-3</v>
      </c>
      <c r="G82" s="26">
        <v>1.5919522036236283E-2</v>
      </c>
    </row>
    <row r="83" spans="2:7" x14ac:dyDescent="0.35">
      <c r="B83" s="9" t="s">
        <v>59</v>
      </c>
      <c r="C83" s="26">
        <v>0.99701471567949707</v>
      </c>
      <c r="D83" s="26">
        <v>4.5977034136203396E-2</v>
      </c>
      <c r="E83" s="26">
        <v>4.1402670912167601E-2</v>
      </c>
      <c r="F83" s="26">
        <v>3.8417362132490557E-2</v>
      </c>
      <c r="G83" s="26">
        <v>-2.2728738551933088E-2</v>
      </c>
    </row>
    <row r="84" spans="2:7" ht="15" thickBot="1" x14ac:dyDescent="0.4">
      <c r="B84" s="24" t="s">
        <v>60</v>
      </c>
      <c r="C84" s="27">
        <v>-0.9940280623215304</v>
      </c>
      <c r="D84" s="27">
        <v>9.9367512856233867E-2</v>
      </c>
      <c r="E84" s="27">
        <v>3.5558636027939308E-2</v>
      </c>
      <c r="F84" s="27">
        <v>-1.2146799220987051E-2</v>
      </c>
      <c r="G84" s="27">
        <v>-1.0054988216114356E-2</v>
      </c>
    </row>
    <row r="87" spans="2:7" x14ac:dyDescent="0.35">
      <c r="B87" s="8" t="s">
        <v>76</v>
      </c>
    </row>
    <row r="88" spans="2:7" ht="15" thickBot="1" x14ac:dyDescent="0.4"/>
    <row r="89" spans="2:7" x14ac:dyDescent="0.35">
      <c r="B89" s="21"/>
      <c r="C89" s="22" t="s">
        <v>63</v>
      </c>
      <c r="D89" s="22" t="s">
        <v>64</v>
      </c>
      <c r="E89" s="22" t="s">
        <v>65</v>
      </c>
      <c r="F89" s="22" t="s">
        <v>66</v>
      </c>
      <c r="G89" s="22" t="s">
        <v>67</v>
      </c>
    </row>
    <row r="90" spans="2:7" x14ac:dyDescent="0.35">
      <c r="B90" s="23" t="s">
        <v>55</v>
      </c>
      <c r="C90" s="25">
        <v>16.712170357003629</v>
      </c>
      <c r="D90" s="25">
        <v>5.9841044419566227</v>
      </c>
      <c r="E90" s="25">
        <v>4.6251606036309747</v>
      </c>
      <c r="F90" s="25">
        <v>48.203930932447939</v>
      </c>
      <c r="G90" s="25">
        <v>19.335714736204832</v>
      </c>
    </row>
    <row r="91" spans="2:7" x14ac:dyDescent="0.35">
      <c r="B91" s="9" t="s">
        <v>56</v>
      </c>
      <c r="C91" s="26">
        <v>16.612242311834898</v>
      </c>
      <c r="D91" s="26">
        <v>28.286901954841365</v>
      </c>
      <c r="E91" s="26">
        <v>25.718696541576431</v>
      </c>
      <c r="F91" s="26">
        <v>5.8173680915528827</v>
      </c>
      <c r="G91" s="26">
        <v>16.06962362445601</v>
      </c>
    </row>
    <row r="92" spans="2:7" x14ac:dyDescent="0.35">
      <c r="B92" s="9" t="s">
        <v>57</v>
      </c>
      <c r="C92" s="26">
        <v>16.704293410985649</v>
      </c>
      <c r="D92" s="26">
        <v>2.2401338031665871E-4</v>
      </c>
      <c r="E92" s="26">
        <v>39.519830772222768</v>
      </c>
      <c r="F92" s="26">
        <v>10.16401619351176</v>
      </c>
      <c r="G92" s="26">
        <v>33.603564163542472</v>
      </c>
    </row>
    <row r="93" spans="2:7" x14ac:dyDescent="0.35">
      <c r="B93" s="9" t="s">
        <v>58</v>
      </c>
      <c r="C93" s="26">
        <v>16.683923281253279</v>
      </c>
      <c r="D93" s="26">
        <v>19.845200213129974</v>
      </c>
      <c r="E93" s="26">
        <v>0.10556477791528789</v>
      </c>
      <c r="F93" s="26">
        <v>5.3189457102667377E-2</v>
      </c>
      <c r="G93" s="26">
        <v>9.0160076379301923</v>
      </c>
    </row>
    <row r="94" spans="2:7" x14ac:dyDescent="0.35">
      <c r="B94" s="9" t="s">
        <v>59</v>
      </c>
      <c r="C94" s="26">
        <v>16.693617754209583</v>
      </c>
      <c r="D94" s="26">
        <v>8.0909583174622934</v>
      </c>
      <c r="E94" s="26">
        <v>17.282676429438293</v>
      </c>
      <c r="F94" s="26">
        <v>32.511344242064567</v>
      </c>
      <c r="G94" s="26">
        <v>18.378281022304705</v>
      </c>
    </row>
    <row r="95" spans="2:7" ht="15" thickBot="1" x14ac:dyDescent="0.4">
      <c r="B95" s="24" t="s">
        <v>60</v>
      </c>
      <c r="C95" s="27">
        <v>16.593752884712963</v>
      </c>
      <c r="D95" s="27">
        <v>37.792611059229451</v>
      </c>
      <c r="E95" s="27">
        <v>12.748070875216309</v>
      </c>
      <c r="F95" s="27">
        <v>3.2501510833202159</v>
      </c>
      <c r="G95" s="27">
        <v>3.5968088155617663</v>
      </c>
    </row>
    <row r="98" spans="2:7" x14ac:dyDescent="0.35">
      <c r="B98" s="8" t="s">
        <v>77</v>
      </c>
    </row>
    <row r="99" spans="2:7" ht="15" thickBot="1" x14ac:dyDescent="0.4"/>
    <row r="100" spans="2:7" x14ac:dyDescent="0.35">
      <c r="B100" s="21"/>
      <c r="C100" s="22" t="s">
        <v>63</v>
      </c>
      <c r="D100" s="22" t="s">
        <v>64</v>
      </c>
      <c r="E100" s="22" t="s">
        <v>65</v>
      </c>
      <c r="F100" s="22" t="s">
        <v>66</v>
      </c>
      <c r="G100" s="22" t="s">
        <v>67</v>
      </c>
    </row>
    <row r="101" spans="2:7" x14ac:dyDescent="0.35">
      <c r="B101" s="23" t="s">
        <v>55</v>
      </c>
      <c r="C101" s="28">
        <v>0.99514307676802993</v>
      </c>
      <c r="D101" s="25">
        <v>1.5634395935948846E-3</v>
      </c>
      <c r="E101" s="25">
        <v>4.5874625929012892E-4</v>
      </c>
      <c r="F101" s="25">
        <v>2.1882785924179E-3</v>
      </c>
      <c r="G101" s="25">
        <v>5.4350808412490892E-4</v>
      </c>
    </row>
    <row r="102" spans="2:7" x14ac:dyDescent="0.35">
      <c r="B102" s="9" t="s">
        <v>56</v>
      </c>
      <c r="C102" s="29">
        <v>0.98919276031000269</v>
      </c>
      <c r="D102" s="26">
        <v>7.390389476871379E-3</v>
      </c>
      <c r="E102" s="26">
        <v>2.5509072750909182E-3</v>
      </c>
      <c r="F102" s="26">
        <v>2.6408680397455031E-4</v>
      </c>
      <c r="G102" s="26">
        <v>4.5170144822123811E-4</v>
      </c>
    </row>
    <row r="103" spans="2:7" x14ac:dyDescent="0.35">
      <c r="B103" s="9" t="s">
        <v>57</v>
      </c>
      <c r="C103" s="29">
        <v>0.99467403605527926</v>
      </c>
      <c r="D103" s="26">
        <v>5.8526951138502903E-8</v>
      </c>
      <c r="E103" s="26">
        <v>3.9197718929594658E-3</v>
      </c>
      <c r="F103" s="26">
        <v>4.614084083810459E-4</v>
      </c>
      <c r="G103" s="26">
        <v>9.4456341684115094E-4</v>
      </c>
    </row>
    <row r="104" spans="2:7" x14ac:dyDescent="0.35">
      <c r="B104" s="9" t="s">
        <v>58</v>
      </c>
      <c r="C104" s="29">
        <v>0.99346107608999534</v>
      </c>
      <c r="D104" s="26">
        <v>5.1848646789126249E-3</v>
      </c>
      <c r="E104" s="26">
        <v>1.0470435760309304E-5</v>
      </c>
      <c r="F104" s="26">
        <v>2.4146028771638686E-6</v>
      </c>
      <c r="G104" s="26">
        <v>2.5343118186221228E-4</v>
      </c>
    </row>
    <row r="105" spans="2:7" x14ac:dyDescent="0.35">
      <c r="B105" s="9" t="s">
        <v>59</v>
      </c>
      <c r="C105" s="29">
        <v>0.99403834328146701</v>
      </c>
      <c r="D105" s="26">
        <v>2.1138876679616097E-3</v>
      </c>
      <c r="E105" s="26">
        <v>1.7141811586612469E-3</v>
      </c>
      <c r="F105" s="26">
        <v>1.4758937132189173E-3</v>
      </c>
      <c r="G105" s="26">
        <v>5.1659555616212873E-4</v>
      </c>
    </row>
    <row r="106" spans="2:7" ht="15" thickBot="1" x14ac:dyDescent="0.4">
      <c r="B106" s="24" t="s">
        <v>60</v>
      </c>
      <c r="C106" s="30">
        <v>0.98809178868269565</v>
      </c>
      <c r="D106" s="27">
        <v>9.8739026112337966E-3</v>
      </c>
      <c r="E106" s="27">
        <v>1.2644165961674626E-3</v>
      </c>
      <c r="F106" s="27">
        <v>1.4754473131497152E-4</v>
      </c>
      <c r="G106" s="27">
        <v>1.011027880261985E-4</v>
      </c>
    </row>
    <row r="107" spans="2:7" x14ac:dyDescent="0.35">
      <c r="B107" s="31" t="s">
        <v>78</v>
      </c>
    </row>
    <row r="110" spans="2:7" x14ac:dyDescent="0.35">
      <c r="B110" s="8" t="s">
        <v>79</v>
      </c>
    </row>
    <row r="111" spans="2:7" ht="15" thickBot="1" x14ac:dyDescent="0.4"/>
    <row r="112" spans="2:7" x14ac:dyDescent="0.35">
      <c r="B112" s="21"/>
      <c r="C112" s="22" t="s">
        <v>63</v>
      </c>
      <c r="D112" s="22" t="s">
        <v>64</v>
      </c>
      <c r="E112" s="22" t="s">
        <v>65</v>
      </c>
      <c r="F112" s="22" t="s">
        <v>66</v>
      </c>
      <c r="G112" s="22" t="s">
        <v>67</v>
      </c>
    </row>
    <row r="113" spans="2:7" x14ac:dyDescent="0.35">
      <c r="B113" s="23" t="s">
        <v>80</v>
      </c>
      <c r="C113" s="25">
        <v>-2.2686060756216011</v>
      </c>
      <c r="D113" s="25">
        <v>-0.23829185865210384</v>
      </c>
      <c r="E113" s="25">
        <v>9.009921189004344E-2</v>
      </c>
      <c r="F113" s="25">
        <v>-3.2696795587507911E-2</v>
      </c>
      <c r="G113" s="25">
        <v>-1.7041811622122458E-2</v>
      </c>
    </row>
    <row r="114" spans="2:7" x14ac:dyDescent="0.35">
      <c r="B114" s="9" t="s">
        <v>81</v>
      </c>
      <c r="C114" s="26">
        <v>1.9280870655530995</v>
      </c>
      <c r="D114" s="26">
        <v>0.27111189586233947</v>
      </c>
      <c r="E114" s="26">
        <v>-9.0688039538449519E-2</v>
      </c>
      <c r="F114" s="26">
        <v>-3.8897101014775816E-2</v>
      </c>
      <c r="G114" s="26">
        <v>-0.10534292839740703</v>
      </c>
    </row>
    <row r="115" spans="2:7" x14ac:dyDescent="0.35">
      <c r="B115" s="9" t="s">
        <v>82</v>
      </c>
      <c r="C115" s="26">
        <v>0.85089059308301362</v>
      </c>
      <c r="D115" s="26">
        <v>0.17736445544140217</v>
      </c>
      <c r="E115" s="26">
        <v>-0.19757141127804853</v>
      </c>
      <c r="F115" s="26">
        <v>-0.11432087568543224</v>
      </c>
      <c r="G115" s="26">
        <v>5.8071350052339231E-2</v>
      </c>
    </row>
    <row r="116" spans="2:7" x14ac:dyDescent="0.35">
      <c r="B116" s="9" t="s">
        <v>83</v>
      </c>
      <c r="C116" s="26">
        <v>-3.1262674445555669</v>
      </c>
      <c r="D116" s="26">
        <v>0.13870810764497971</v>
      </c>
      <c r="E116" s="26">
        <v>8.2199101318438106E-2</v>
      </c>
      <c r="F116" s="26">
        <v>3.331231549828538E-2</v>
      </c>
      <c r="G116" s="26">
        <v>-3.5515769109303555E-2</v>
      </c>
    </row>
    <row r="117" spans="2:7" x14ac:dyDescent="0.35">
      <c r="B117" s="9" t="s">
        <v>84</v>
      </c>
      <c r="C117" s="26">
        <v>3.6718074151163944</v>
      </c>
      <c r="D117" s="26">
        <v>8.099631672412623E-2</v>
      </c>
      <c r="E117" s="26">
        <v>-0.10528443255547654</v>
      </c>
      <c r="F117" s="26">
        <v>-1.4883782182081001E-2</v>
      </c>
      <c r="G117" s="26">
        <v>3.2060859857249178E-2</v>
      </c>
    </row>
    <row r="118" spans="2:7" x14ac:dyDescent="0.35">
      <c r="B118" s="9" t="s">
        <v>85</v>
      </c>
      <c r="C118" s="26">
        <v>-0.21115900496744042</v>
      </c>
      <c r="D118" s="26">
        <v>-0.15410137061975526</v>
      </c>
      <c r="E118" s="26">
        <v>-4.2571545170331668E-2</v>
      </c>
      <c r="F118" s="26">
        <v>-3.2743645894606356E-2</v>
      </c>
      <c r="G118" s="26">
        <v>1.398682798477867E-2</v>
      </c>
    </row>
    <row r="119" spans="2:7" x14ac:dyDescent="0.35">
      <c r="B119" s="9" t="s">
        <v>86</v>
      </c>
      <c r="C119" s="26">
        <v>-4.1818684146016682</v>
      </c>
      <c r="D119" s="26">
        <v>0.34995837204325353</v>
      </c>
      <c r="E119" s="26">
        <v>9.1541497452558421E-2</v>
      </c>
      <c r="F119" s="26">
        <v>5.4027982081392867E-2</v>
      </c>
      <c r="G119" s="26">
        <v>4.2296917852616231E-2</v>
      </c>
    </row>
    <row r="120" spans="2:7" x14ac:dyDescent="0.35">
      <c r="B120" s="9" t="s">
        <v>87</v>
      </c>
      <c r="C120" s="26">
        <v>2.2734649600401542</v>
      </c>
      <c r="D120" s="26">
        <v>-6.9928732703536875E-2</v>
      </c>
      <c r="E120" s="26">
        <v>0.24404238256620628</v>
      </c>
      <c r="F120" s="26">
        <v>7.8754246837272932E-2</v>
      </c>
      <c r="G120" s="26">
        <v>2.0713954611263633E-2</v>
      </c>
    </row>
    <row r="121" spans="2:7" x14ac:dyDescent="0.35">
      <c r="B121" s="9" t="s">
        <v>88</v>
      </c>
      <c r="C121" s="26">
        <v>0.94529086564530873</v>
      </c>
      <c r="D121" s="26">
        <v>-6.0644159206786188E-2</v>
      </c>
      <c r="E121" s="26">
        <v>0.18621397947500701</v>
      </c>
      <c r="F121" s="26">
        <v>-1.9140940398721693E-2</v>
      </c>
      <c r="G121" s="26">
        <v>-3.7019634623276371E-2</v>
      </c>
    </row>
    <row r="122" spans="2:7" x14ac:dyDescent="0.35">
      <c r="B122" s="9" t="s">
        <v>89</v>
      </c>
      <c r="C122" s="26">
        <v>-1.6597400942470728</v>
      </c>
      <c r="D122" s="26">
        <v>-0.21686694438407525</v>
      </c>
      <c r="E122" s="26">
        <v>-3.7056937898604578E-2</v>
      </c>
      <c r="F122" s="26">
        <v>7.3853259003067315E-2</v>
      </c>
      <c r="G122" s="26">
        <v>8.5766847752761152E-2</v>
      </c>
    </row>
    <row r="123" spans="2:7" x14ac:dyDescent="0.35">
      <c r="B123" s="9" t="s">
        <v>90</v>
      </c>
      <c r="C123" s="26">
        <v>3.0583215588358073</v>
      </c>
      <c r="D123" s="26">
        <v>9.6077620466778674E-2</v>
      </c>
      <c r="E123" s="26">
        <v>-1.561712974152597E-2</v>
      </c>
      <c r="F123" s="26">
        <v>1.3704641718534307E-2</v>
      </c>
      <c r="G123" s="26">
        <v>4.8677305286232528E-2</v>
      </c>
    </row>
    <row r="124" spans="2:7" x14ac:dyDescent="0.35">
      <c r="B124" s="9" t="s">
        <v>91</v>
      </c>
      <c r="C124" s="26">
        <v>-1.1018378605028256</v>
      </c>
      <c r="D124" s="26">
        <v>-0.30447953976794423</v>
      </c>
      <c r="E124" s="26">
        <v>-5.7563888556396332E-2</v>
      </c>
      <c r="F124" s="26">
        <v>1.2372402678096289E-2</v>
      </c>
      <c r="G124" s="26">
        <v>1.4482102021170685E-2</v>
      </c>
    </row>
    <row r="125" spans="2:7" x14ac:dyDescent="0.35">
      <c r="B125" s="9" t="s">
        <v>92</v>
      </c>
      <c r="C125" s="26">
        <v>-2.65513756685078</v>
      </c>
      <c r="D125" s="26">
        <v>3.0408393644733623E-2</v>
      </c>
      <c r="E125" s="26">
        <v>-5.938604694594745E-2</v>
      </c>
      <c r="F125" s="26">
        <v>-7.6771204806593803E-3</v>
      </c>
      <c r="G125" s="26">
        <v>9.8822730213419696E-2</v>
      </c>
    </row>
    <row r="126" spans="2:7" x14ac:dyDescent="0.35">
      <c r="B126" s="9" t="s">
        <v>93</v>
      </c>
      <c r="C126" s="26">
        <v>1.6936137426048952</v>
      </c>
      <c r="D126" s="26">
        <v>-3.4844003161906478E-3</v>
      </c>
      <c r="E126" s="26">
        <v>0.14928847741063672</v>
      </c>
      <c r="F126" s="26">
        <v>-7.6658001049753483E-2</v>
      </c>
      <c r="G126" s="26">
        <v>0.11344003609203836</v>
      </c>
    </row>
    <row r="127" spans="2:7" x14ac:dyDescent="0.35">
      <c r="B127" s="9" t="s">
        <v>94</v>
      </c>
      <c r="C127" s="26">
        <v>-3.6239661808574204</v>
      </c>
      <c r="D127" s="26">
        <v>0.26234577665938408</v>
      </c>
      <c r="E127" s="26">
        <v>7.1034546794766812E-2</v>
      </c>
      <c r="F127" s="26">
        <v>-7.4528742435782114E-3</v>
      </c>
      <c r="G127" s="26">
        <v>-2.8987827878974418E-2</v>
      </c>
    </row>
    <row r="128" spans="2:7" x14ac:dyDescent="0.35">
      <c r="B128" s="9" t="s">
        <v>95</v>
      </c>
      <c r="C128" s="26">
        <v>2.8632810407144142</v>
      </c>
      <c r="D128" s="26">
        <v>-1.2188515797004893E-2</v>
      </c>
      <c r="E128" s="26">
        <v>-3.6687425309643293E-2</v>
      </c>
      <c r="F128" s="26">
        <v>0.14487932453578475</v>
      </c>
      <c r="G128" s="26">
        <v>-5.3642006356804425E-2</v>
      </c>
    </row>
    <row r="129" spans="2:7" x14ac:dyDescent="0.35">
      <c r="B129" s="9" t="s">
        <v>96</v>
      </c>
      <c r="C129" s="26">
        <v>0.28618625006738613</v>
      </c>
      <c r="D129" s="26">
        <v>6.0904021885281939E-3</v>
      </c>
      <c r="E129" s="26">
        <v>-3.0442078586302285E-2</v>
      </c>
      <c r="F129" s="26">
        <v>-0.11273211911097632</v>
      </c>
      <c r="G129" s="26">
        <v>-5.670136898419309E-2</v>
      </c>
    </row>
    <row r="130" spans="2:7" x14ac:dyDescent="0.35">
      <c r="B130" s="9" t="s">
        <v>97</v>
      </c>
      <c r="C130" s="26">
        <v>-1.6551202193410168</v>
      </c>
      <c r="D130" s="26">
        <v>-0.25337316239475643</v>
      </c>
      <c r="E130" s="26">
        <v>4.3190907609131377E-4</v>
      </c>
      <c r="F130" s="26">
        <v>-6.1285219488122378E-2</v>
      </c>
      <c r="G130" s="26">
        <v>-3.3658257051106935E-2</v>
      </c>
    </row>
    <row r="131" spans="2:7" x14ac:dyDescent="0.35">
      <c r="B131" s="9" t="s">
        <v>98</v>
      </c>
      <c r="C131" s="26">
        <v>3.5560202951376616</v>
      </c>
      <c r="D131" s="26">
        <v>-2.7560048547625764E-2</v>
      </c>
      <c r="E131" s="26">
        <v>-4.4525752178542644E-3</v>
      </c>
      <c r="F131" s="26">
        <v>5.4469831460397591E-2</v>
      </c>
      <c r="G131" s="26">
        <v>4.2149364055903221E-2</v>
      </c>
    </row>
    <row r="132" spans="2:7" x14ac:dyDescent="0.35">
      <c r="B132" s="9" t="s">
        <v>99</v>
      </c>
      <c r="C132" s="26">
        <v>-0.60449260546799877</v>
      </c>
      <c r="D132" s="26">
        <v>-0.14428776695966092</v>
      </c>
      <c r="E132" s="26">
        <v>-4.5434421972366912E-2</v>
      </c>
      <c r="F132" s="26">
        <v>-6.7616070538273565E-2</v>
      </c>
      <c r="G132" s="26">
        <v>-5.6206094947801037E-2</v>
      </c>
    </row>
    <row r="133" spans="2:7" x14ac:dyDescent="0.35">
      <c r="B133" s="9" t="s">
        <v>100</v>
      </c>
      <c r="C133" s="26">
        <v>-3.8455755575758834</v>
      </c>
      <c r="D133" s="26">
        <v>0.16941759540975893</v>
      </c>
      <c r="E133" s="26">
        <v>-0.10278545156140773</v>
      </c>
      <c r="F133" s="26">
        <v>4.1967182852864778E-2</v>
      </c>
      <c r="G133" s="26">
        <v>9.5593010310409034E-3</v>
      </c>
    </row>
    <row r="134" spans="2:7" x14ac:dyDescent="0.35">
      <c r="B134" s="9" t="s">
        <v>101</v>
      </c>
      <c r="C134" s="26">
        <v>2.3655823044125599</v>
      </c>
      <c r="D134" s="26">
        <v>0.11144915321739968</v>
      </c>
      <c r="E134" s="26">
        <v>-4.7851979833314809E-2</v>
      </c>
      <c r="F134" s="26">
        <v>0.10411413479392162</v>
      </c>
      <c r="G134" s="26">
        <v>-4.711406512647507E-2</v>
      </c>
    </row>
    <row r="135" spans="2:7" x14ac:dyDescent="0.35">
      <c r="B135" s="9" t="s">
        <v>102</v>
      </c>
      <c r="C135" s="26">
        <v>0.17039913008865493</v>
      </c>
      <c r="D135" s="26">
        <v>-0.10246596308322357</v>
      </c>
      <c r="E135" s="26">
        <v>7.0389778751320076E-2</v>
      </c>
      <c r="F135" s="26">
        <v>-4.3378505468497634E-2</v>
      </c>
      <c r="G135" s="26">
        <v>-4.6612864785538721E-2</v>
      </c>
    </row>
    <row r="136" spans="2:7" x14ac:dyDescent="0.35">
      <c r="B136" s="9" t="s">
        <v>103</v>
      </c>
      <c r="C136" s="26">
        <v>-2.0972353331065334</v>
      </c>
      <c r="D136" s="26">
        <v>-5.7204201739135541E-2</v>
      </c>
      <c r="E136" s="26">
        <v>-7.9892997603739371E-2</v>
      </c>
      <c r="F136" s="26">
        <v>-6.91579768056301E-2</v>
      </c>
      <c r="G136" s="26">
        <v>2.7537984481829206E-2</v>
      </c>
    </row>
    <row r="137" spans="2:7" x14ac:dyDescent="0.35">
      <c r="B137" s="9" t="s">
        <v>104</v>
      </c>
      <c r="C137" s="26">
        <v>4.169506151418247</v>
      </c>
      <c r="D137" s="26">
        <v>-4.264135229027826E-2</v>
      </c>
      <c r="E137" s="26">
        <v>-9.4119878031805174E-2</v>
      </c>
      <c r="F137" s="26">
        <v>2.5881407559782105E-2</v>
      </c>
      <c r="G137" s="26">
        <v>2.5532918626919747E-2</v>
      </c>
    </row>
    <row r="138" spans="2:7" x14ac:dyDescent="0.35">
      <c r="B138" s="9" t="s">
        <v>105</v>
      </c>
      <c r="C138" s="26">
        <v>-0.90389825939068902</v>
      </c>
      <c r="D138" s="26">
        <v>-0.13872983786913434</v>
      </c>
      <c r="E138" s="26">
        <v>-7.4806395262120559E-2</v>
      </c>
      <c r="F138" s="26">
        <v>5.7665847180780841E-2</v>
      </c>
      <c r="G138" s="26">
        <v>-8.1804542427929047E-2</v>
      </c>
    </row>
    <row r="139" spans="2:7" x14ac:dyDescent="0.35">
      <c r="B139" s="9" t="s">
        <v>106</v>
      </c>
      <c r="C139" s="26">
        <v>-2.8501780849721747</v>
      </c>
      <c r="D139" s="26">
        <v>-7.7857742619050138E-2</v>
      </c>
      <c r="E139" s="26">
        <v>-8.0456342514064819E-2</v>
      </c>
      <c r="F139" s="26">
        <v>0.12349756233659134</v>
      </c>
      <c r="G139" s="26">
        <v>-3.4965814296173598E-3</v>
      </c>
    </row>
    <row r="140" spans="2:7" x14ac:dyDescent="0.35">
      <c r="B140" s="9" t="s">
        <v>107</v>
      </c>
      <c r="C140" s="26">
        <v>1.8915533437170318</v>
      </c>
      <c r="D140" s="26">
        <v>0.16226530158261929</v>
      </c>
      <c r="E140" s="26">
        <v>0.13204597070491245</v>
      </c>
      <c r="F140" s="26">
        <v>-3.1364556547069038E-2</v>
      </c>
      <c r="G140" s="26">
        <v>1.7153391642938502E-2</v>
      </c>
    </row>
    <row r="141" spans="2:7" ht="15" thickBot="1" x14ac:dyDescent="0.4">
      <c r="B141" s="24" t="s">
        <v>108</v>
      </c>
      <c r="C141" s="27">
        <v>1.0610779856240398</v>
      </c>
      <c r="D141" s="27">
        <v>4.7912206064965546E-2</v>
      </c>
      <c r="E141" s="27">
        <v>8.5382122137384636E-2</v>
      </c>
      <c r="F141" s="27">
        <v>-8.8494554041200324E-2</v>
      </c>
      <c r="G141" s="27">
        <v>-4.7108138821930788E-2</v>
      </c>
    </row>
    <row r="164" spans="7:7" x14ac:dyDescent="0.35">
      <c r="G164" t="s">
        <v>72</v>
      </c>
    </row>
    <row r="184" spans="2:7" x14ac:dyDescent="0.35">
      <c r="G184" t="s">
        <v>72</v>
      </c>
    </row>
    <row r="187" spans="2:7" x14ac:dyDescent="0.35">
      <c r="B187" s="8" t="s">
        <v>109</v>
      </c>
    </row>
    <row r="188" spans="2:7" ht="15" thickBot="1" x14ac:dyDescent="0.4"/>
    <row r="189" spans="2:7" x14ac:dyDescent="0.35">
      <c r="B189" s="21"/>
      <c r="C189" s="22" t="s">
        <v>63</v>
      </c>
      <c r="D189" s="22" t="s">
        <v>64</v>
      </c>
      <c r="E189" s="22" t="s">
        <v>65</v>
      </c>
      <c r="F189" s="22" t="s">
        <v>66</v>
      </c>
      <c r="G189" s="22" t="s">
        <v>67</v>
      </c>
    </row>
    <row r="190" spans="2:7" x14ac:dyDescent="0.35">
      <c r="B190" s="23" t="s">
        <v>80</v>
      </c>
      <c r="C190" s="25">
        <v>2.9803516677774242</v>
      </c>
      <c r="D190" s="25">
        <v>7.4944276303390653</v>
      </c>
      <c r="E190" s="25">
        <v>2.8222681080676435</v>
      </c>
      <c r="F190" s="25">
        <v>0.81206768788056949</v>
      </c>
      <c r="G190" s="25">
        <v>0.35627696568106443</v>
      </c>
    </row>
    <row r="191" spans="2:7" x14ac:dyDescent="0.35">
      <c r="B191" s="9" t="s">
        <v>81</v>
      </c>
      <c r="C191" s="26">
        <v>2.1527946851616964</v>
      </c>
      <c r="D191" s="26">
        <v>9.7010157287578505</v>
      </c>
      <c r="E191" s="26">
        <v>2.8592775281577536</v>
      </c>
      <c r="F191" s="26">
        <v>1.1492547710061976</v>
      </c>
      <c r="G191" s="26">
        <v>13.61341230919483</v>
      </c>
    </row>
    <row r="192" spans="2:7" x14ac:dyDescent="0.35">
      <c r="B192" s="9" t="s">
        <v>82</v>
      </c>
      <c r="C192" s="26">
        <v>0.41927288317030559</v>
      </c>
      <c r="D192" s="26">
        <v>4.1519607604450099</v>
      </c>
      <c r="E192" s="26">
        <v>13.570769937468542</v>
      </c>
      <c r="F192" s="26">
        <v>9.9273407895240826</v>
      </c>
      <c r="G192" s="26">
        <v>4.1369480720023395</v>
      </c>
    </row>
    <row r="193" spans="2:7" x14ac:dyDescent="0.35">
      <c r="B193" s="9" t="s">
        <v>83</v>
      </c>
      <c r="C193" s="26">
        <v>5.6598065362898407</v>
      </c>
      <c r="D193" s="26">
        <v>2.539356959935255</v>
      </c>
      <c r="E193" s="26">
        <v>2.349040057559876</v>
      </c>
      <c r="F193" s="26">
        <v>0.84292995573754836</v>
      </c>
      <c r="G193" s="26">
        <v>1.5473860313267038</v>
      </c>
    </row>
    <row r="194" spans="2:7" x14ac:dyDescent="0.35">
      <c r="B194" s="9" t="s">
        <v>84</v>
      </c>
      <c r="C194" s="26">
        <v>7.807448339401633</v>
      </c>
      <c r="D194" s="26">
        <v>0.86586582880720619</v>
      </c>
      <c r="E194" s="26">
        <v>3.8537594745689088</v>
      </c>
      <c r="F194" s="26">
        <v>0.16827068289273295</v>
      </c>
      <c r="G194" s="26">
        <v>1.2609752302112416</v>
      </c>
    </row>
    <row r="195" spans="2:7" x14ac:dyDescent="0.35">
      <c r="B195" s="9" t="s">
        <v>85</v>
      </c>
      <c r="C195" s="26">
        <v>2.5820731629614971E-2</v>
      </c>
      <c r="D195" s="26">
        <v>3.1342458802019442</v>
      </c>
      <c r="E195" s="26">
        <v>0.63007915349420562</v>
      </c>
      <c r="F195" s="26">
        <v>0.81439653247349364</v>
      </c>
      <c r="G195" s="26">
        <v>0.23999085432914352</v>
      </c>
    </row>
    <row r="196" spans="2:7" x14ac:dyDescent="0.35">
      <c r="B196" s="9" t="s">
        <v>86</v>
      </c>
      <c r="C196" s="26">
        <v>10.127215622180039</v>
      </c>
      <c r="D196" s="26">
        <v>16.164148658648305</v>
      </c>
      <c r="E196" s="26">
        <v>2.9133476272593413</v>
      </c>
      <c r="F196" s="26">
        <v>2.2172738761576922</v>
      </c>
      <c r="G196" s="26">
        <v>2.1946924404370303</v>
      </c>
    </row>
    <row r="197" spans="2:7" x14ac:dyDescent="0.35">
      <c r="B197" s="9" t="s">
        <v>87</v>
      </c>
      <c r="C197" s="26">
        <v>2.9931319316452649</v>
      </c>
      <c r="D197" s="26">
        <v>0.64540358910670503</v>
      </c>
      <c r="E197" s="26">
        <v>20.705551211488725</v>
      </c>
      <c r="F197" s="26">
        <v>4.7111812284151187</v>
      </c>
      <c r="G197" s="26">
        <v>0.52635925640067249</v>
      </c>
    </row>
    <row r="198" spans="2:7" x14ac:dyDescent="0.35">
      <c r="B198" s="9" t="s">
        <v>88</v>
      </c>
      <c r="C198" s="26">
        <v>0.51746413287235049</v>
      </c>
      <c r="D198" s="26">
        <v>0.48539804090457905</v>
      </c>
      <c r="E198" s="26">
        <v>12.055378390439982</v>
      </c>
      <c r="F198" s="26">
        <v>0.27829691223911746</v>
      </c>
      <c r="G198" s="26">
        <v>1.681204253933358</v>
      </c>
    </row>
    <row r="199" spans="2:7" x14ac:dyDescent="0.35">
      <c r="B199" s="9" t="s">
        <v>89</v>
      </c>
      <c r="C199" s="26">
        <v>1.5952527459320165</v>
      </c>
      <c r="D199" s="26">
        <v>6.2073578300862549</v>
      </c>
      <c r="E199" s="26">
        <v>0.47741421204174977</v>
      </c>
      <c r="F199" s="26">
        <v>4.1430595455898276</v>
      </c>
      <c r="G199" s="26">
        <v>9.0239176014382902</v>
      </c>
    </row>
    <row r="200" spans="2:7" x14ac:dyDescent="0.35">
      <c r="B200" s="9" t="s">
        <v>90</v>
      </c>
      <c r="C200" s="26">
        <v>5.4164610257494541</v>
      </c>
      <c r="D200" s="26">
        <v>1.218328875891894</v>
      </c>
      <c r="E200" s="26">
        <v>8.4792749980657361E-2</v>
      </c>
      <c r="F200" s="26">
        <v>0.14266492694370472</v>
      </c>
      <c r="G200" s="26">
        <v>2.9067607054325393</v>
      </c>
    </row>
    <row r="201" spans="2:7" x14ac:dyDescent="0.35">
      <c r="B201" s="9" t="s">
        <v>91</v>
      </c>
      <c r="C201" s="26">
        <v>0.70304757168369247</v>
      </c>
      <c r="D201" s="26">
        <v>12.235910445356456</v>
      </c>
      <c r="E201" s="26">
        <v>1.1520107489401421</v>
      </c>
      <c r="F201" s="26">
        <v>0.11627596125173474</v>
      </c>
      <c r="G201" s="26">
        <v>0.25728793976334874</v>
      </c>
    </row>
    <row r="202" spans="2:7" x14ac:dyDescent="0.35">
      <c r="B202" s="9" t="s">
        <v>92</v>
      </c>
      <c r="C202" s="26">
        <v>4.0824736013222305</v>
      </c>
      <c r="D202" s="26">
        <v>0.12204135422394211</v>
      </c>
      <c r="E202" s="26">
        <v>1.2260978148213608</v>
      </c>
      <c r="F202" s="26">
        <v>4.47691200587658E-2</v>
      </c>
      <c r="G202" s="26">
        <v>11.980361434248673</v>
      </c>
    </row>
    <row r="203" spans="2:7" x14ac:dyDescent="0.35">
      <c r="B203" s="9" t="s">
        <v>93</v>
      </c>
      <c r="C203" s="26">
        <v>1.6610322638614066</v>
      </c>
      <c r="D203" s="26">
        <v>1.6024192358333011E-3</v>
      </c>
      <c r="E203" s="26">
        <v>7.7483434224180758</v>
      </c>
      <c r="F203" s="26">
        <v>4.4637187883558047</v>
      </c>
      <c r="G203" s="26">
        <v>15.786612039380328</v>
      </c>
    </row>
    <row r="204" spans="2:7" x14ac:dyDescent="0.35">
      <c r="B204" s="9" t="s">
        <v>94</v>
      </c>
      <c r="C204" s="26">
        <v>7.6053219333140634</v>
      </c>
      <c r="D204" s="26">
        <v>9.0838136238660407</v>
      </c>
      <c r="E204" s="26">
        <v>1.7542662649332341</v>
      </c>
      <c r="F204" s="26">
        <v>4.2191933921239128E-2</v>
      </c>
      <c r="G204" s="26">
        <v>1.0308312409337821</v>
      </c>
    </row>
    <row r="205" spans="2:7" x14ac:dyDescent="0.35">
      <c r="B205" s="9" t="s">
        <v>95</v>
      </c>
      <c r="C205" s="26">
        <v>4.747634589960894</v>
      </c>
      <c r="D205" s="26">
        <v>1.9607476799676792E-2</v>
      </c>
      <c r="E205" s="26">
        <v>0.4679406271162983</v>
      </c>
      <c r="F205" s="26">
        <v>15.94390400539309</v>
      </c>
      <c r="G205" s="26">
        <v>3.529931279994746</v>
      </c>
    </row>
    <row r="206" spans="2:7" x14ac:dyDescent="0.35">
      <c r="B206" s="9" t="s">
        <v>96</v>
      </c>
      <c r="C206" s="26">
        <v>4.742931564726989E-2</v>
      </c>
      <c r="D206" s="26">
        <v>4.8956685410680685E-3</v>
      </c>
      <c r="E206" s="26">
        <v>0.32218468273468598</v>
      </c>
      <c r="F206" s="26">
        <v>9.6533307715670809</v>
      </c>
      <c r="G206" s="26">
        <v>3.9440581842872944</v>
      </c>
    </row>
    <row r="207" spans="2:7" x14ac:dyDescent="0.35">
      <c r="B207" s="9" t="s">
        <v>97</v>
      </c>
      <c r="C207" s="26">
        <v>1.5863843560351341</v>
      </c>
      <c r="D207" s="26">
        <v>8.4730795664300658</v>
      </c>
      <c r="E207" s="26">
        <v>6.4854623819653715E-5</v>
      </c>
      <c r="F207" s="26">
        <v>2.8529445944248861</v>
      </c>
      <c r="G207" s="26">
        <v>1.38975891894125</v>
      </c>
    </row>
    <row r="208" spans="2:7" x14ac:dyDescent="0.35">
      <c r="B208" s="9" t="s">
        <v>98</v>
      </c>
      <c r="C208" s="26">
        <v>7.3228104400335914</v>
      </c>
      <c r="D208" s="26">
        <v>0.10024899263522333</v>
      </c>
      <c r="E208" s="26">
        <v>6.8925323550216439E-3</v>
      </c>
      <c r="F208" s="26">
        <v>2.2536886050647316</v>
      </c>
      <c r="G208" s="26">
        <v>2.1794066765922344</v>
      </c>
    </row>
    <row r="209" spans="2:7" x14ac:dyDescent="0.35">
      <c r="B209" s="9" t="s">
        <v>99</v>
      </c>
      <c r="C209" s="26">
        <v>0.21160762627855956</v>
      </c>
      <c r="D209" s="26">
        <v>2.7477618224586928</v>
      </c>
      <c r="E209" s="26">
        <v>0.71767248879459022</v>
      </c>
      <c r="F209" s="26">
        <v>3.4728154324392269</v>
      </c>
      <c r="G209" s="26">
        <v>3.8754581333059908</v>
      </c>
    </row>
    <row r="210" spans="2:7" x14ac:dyDescent="0.35">
      <c r="B210" s="9" t="s">
        <v>100</v>
      </c>
      <c r="C210" s="26">
        <v>8.5639086813554339</v>
      </c>
      <c r="D210" s="26">
        <v>3.7882365286942665</v>
      </c>
      <c r="E210" s="26">
        <v>3.6729885986831952</v>
      </c>
      <c r="F210" s="26">
        <v>1.3378316931552263</v>
      </c>
      <c r="G210" s="26">
        <v>0.11210074541595788</v>
      </c>
    </row>
    <row r="211" spans="2:7" x14ac:dyDescent="0.35">
      <c r="B211" s="9" t="s">
        <v>101</v>
      </c>
      <c r="C211" s="26">
        <v>3.2406002099089379</v>
      </c>
      <c r="D211" s="26">
        <v>1.6393572547096396</v>
      </c>
      <c r="E211" s="26">
        <v>0.79607888684194017</v>
      </c>
      <c r="F211" s="26">
        <v>8.2338174607902044</v>
      </c>
      <c r="G211" s="26">
        <v>2.7230610616514248</v>
      </c>
    </row>
    <row r="212" spans="2:7" x14ac:dyDescent="0.35">
      <c r="B212" s="9" t="s">
        <v>102</v>
      </c>
      <c r="C212" s="26">
        <v>1.6814504615311671E-2</v>
      </c>
      <c r="D212" s="26">
        <v>1.3857322152246521</v>
      </c>
      <c r="E212" s="26">
        <v>1.722564466186612</v>
      </c>
      <c r="F212" s="26">
        <v>1.4293250858614244</v>
      </c>
      <c r="G212" s="26">
        <v>2.6654332705028092</v>
      </c>
    </row>
    <row r="213" spans="2:7" x14ac:dyDescent="0.35">
      <c r="B213" s="9" t="s">
        <v>103</v>
      </c>
      <c r="C213" s="26">
        <v>2.5470863116002485</v>
      </c>
      <c r="D213" s="26">
        <v>0.43189275607722849</v>
      </c>
      <c r="E213" s="26">
        <v>2.2190838691169219</v>
      </c>
      <c r="F213" s="26">
        <v>3.6330084263282911</v>
      </c>
      <c r="G213" s="26">
        <v>0.93029465533595357</v>
      </c>
    </row>
    <row r="214" spans="2:7" x14ac:dyDescent="0.35">
      <c r="B214" s="9" t="s">
        <v>104</v>
      </c>
      <c r="C214" s="26">
        <v>10.067428826470287</v>
      </c>
      <c r="D214" s="26">
        <v>0.23998384035742212</v>
      </c>
      <c r="E214" s="26">
        <v>3.0797750427261041</v>
      </c>
      <c r="F214" s="26">
        <v>0.50881233276361448</v>
      </c>
      <c r="G214" s="26">
        <v>0.7997553360984524</v>
      </c>
    </row>
    <row r="215" spans="2:7" x14ac:dyDescent="0.35">
      <c r="B215" s="9" t="s">
        <v>105</v>
      </c>
      <c r="C215" s="26">
        <v>0.47313865431162283</v>
      </c>
      <c r="D215" s="26">
        <v>2.5401526613436136</v>
      </c>
      <c r="E215" s="26">
        <v>1.9455112174100371</v>
      </c>
      <c r="F215" s="26">
        <v>2.5259177182697519</v>
      </c>
      <c r="G215" s="26">
        <v>8.2093933210550478</v>
      </c>
    </row>
    <row r="216" spans="2:7" x14ac:dyDescent="0.35">
      <c r="B216" s="9" t="s">
        <v>106</v>
      </c>
      <c r="C216" s="26">
        <v>4.7042817323811139</v>
      </c>
      <c r="D216" s="26">
        <v>0.80006206039797823</v>
      </c>
      <c r="E216" s="26">
        <v>2.2504887995599177</v>
      </c>
      <c r="F216" s="26">
        <v>11.58506878063298</v>
      </c>
      <c r="G216" s="26">
        <v>1.4998351157432631E-2</v>
      </c>
    </row>
    <row r="217" spans="2:7" x14ac:dyDescent="0.35">
      <c r="B217" s="9" t="s">
        <v>107</v>
      </c>
      <c r="C217" s="26">
        <v>2.0719845697200721</v>
      </c>
      <c r="D217" s="26">
        <v>3.4751326220808836</v>
      </c>
      <c r="E217" s="26">
        <v>6.0618696162390791</v>
      </c>
      <c r="F217" s="26">
        <v>0.74724006409203647</v>
      </c>
      <c r="G217" s="26">
        <v>0.36095763383404522</v>
      </c>
    </row>
    <row r="218" spans="2:7" ht="15" thickBot="1" x14ac:dyDescent="0.4">
      <c r="B218" s="24" t="s">
        <v>108</v>
      </c>
      <c r="C218" s="27">
        <v>0.6519945096904296</v>
      </c>
      <c r="D218" s="27">
        <v>0.30297890844320335</v>
      </c>
      <c r="E218" s="27">
        <v>2.5344876159715644</v>
      </c>
      <c r="F218" s="27">
        <v>5.948602316769839</v>
      </c>
      <c r="G218" s="27">
        <v>2.7223760571140114</v>
      </c>
    </row>
    <row r="221" spans="2:7" x14ac:dyDescent="0.35">
      <c r="B221" s="8" t="s">
        <v>110</v>
      </c>
    </row>
    <row r="222" spans="2:7" ht="15" thickBot="1" x14ac:dyDescent="0.4"/>
    <row r="223" spans="2:7" x14ac:dyDescent="0.35">
      <c r="B223" s="21"/>
      <c r="C223" s="22" t="s">
        <v>111</v>
      </c>
    </row>
    <row r="224" spans="2:7" x14ac:dyDescent="0.35">
      <c r="B224" s="23" t="s">
        <v>63</v>
      </c>
      <c r="C224" s="25">
        <v>0.37931034482758624</v>
      </c>
    </row>
    <row r="225" spans="2:3" x14ac:dyDescent="0.35">
      <c r="B225" s="9" t="s">
        <v>64</v>
      </c>
      <c r="C225" s="26">
        <v>0.34482758620689652</v>
      </c>
    </row>
    <row r="226" spans="2:3" x14ac:dyDescent="0.35">
      <c r="B226" s="9" t="s">
        <v>65</v>
      </c>
      <c r="C226" s="26">
        <v>0.2413793103448276</v>
      </c>
    </row>
    <row r="227" spans="2:3" x14ac:dyDescent="0.35">
      <c r="B227" s="9" t="s">
        <v>66</v>
      </c>
      <c r="C227" s="26">
        <v>0.37931034482758619</v>
      </c>
    </row>
    <row r="228" spans="2:3" ht="15" thickBot="1" x14ac:dyDescent="0.4">
      <c r="B228" s="24" t="s">
        <v>67</v>
      </c>
      <c r="C228" s="27">
        <v>0.31034482758620685</v>
      </c>
    </row>
    <row r="248" spans="2:7" x14ac:dyDescent="0.35">
      <c r="G248" t="s">
        <v>72</v>
      </c>
    </row>
    <row r="251" spans="2:7" x14ac:dyDescent="0.35">
      <c r="B251" s="8" t="s">
        <v>112</v>
      </c>
    </row>
    <row r="252" spans="2:7" ht="15" thickBot="1" x14ac:dyDescent="0.4"/>
    <row r="253" spans="2:7" x14ac:dyDescent="0.35">
      <c r="B253" s="21"/>
      <c r="C253" s="22" t="s">
        <v>63</v>
      </c>
      <c r="D253" s="22" t="s">
        <v>64</v>
      </c>
      <c r="E253" s="22" t="s">
        <v>65</v>
      </c>
      <c r="F253" s="22" t="s">
        <v>66</v>
      </c>
      <c r="G253" s="22" t="s">
        <v>67</v>
      </c>
    </row>
    <row r="254" spans="2:7" x14ac:dyDescent="0.35">
      <c r="B254" s="23" t="s">
        <v>80</v>
      </c>
      <c r="C254" s="28">
        <v>0.98691764823237449</v>
      </c>
      <c r="D254" s="25">
        <v>1.088882813060941E-2</v>
      </c>
      <c r="E254" s="25">
        <v>1.5566992558510542E-3</v>
      </c>
      <c r="F254" s="25">
        <v>2.0500909000595427E-4</v>
      </c>
      <c r="G254" s="25">
        <v>5.569218462675334E-5</v>
      </c>
    </row>
    <row r="255" spans="2:7" x14ac:dyDescent="0.35">
      <c r="B255" s="9" t="s">
        <v>81</v>
      </c>
      <c r="C255" s="29">
        <v>0.97522662881647104</v>
      </c>
      <c r="D255" s="26">
        <v>1.928188182742448E-2</v>
      </c>
      <c r="E255" s="26">
        <v>2.1575074102947399E-3</v>
      </c>
      <c r="F255" s="26">
        <v>3.9690515391428065E-4</v>
      </c>
      <c r="G255" s="26">
        <v>2.9111396733397729E-3</v>
      </c>
    </row>
    <row r="256" spans="2:7" x14ac:dyDescent="0.35">
      <c r="B256" s="9" t="s">
        <v>82</v>
      </c>
      <c r="C256" s="29">
        <v>0.88409647955495374</v>
      </c>
      <c r="D256" s="26">
        <v>3.8413634172126045E-2</v>
      </c>
      <c r="E256" s="26">
        <v>4.7665090353220196E-2</v>
      </c>
      <c r="F256" s="26">
        <v>1.5958912784931487E-2</v>
      </c>
      <c r="G256" s="26">
        <v>4.1179025215295085E-3</v>
      </c>
    </row>
    <row r="257" spans="2:7" x14ac:dyDescent="0.35">
      <c r="B257" s="9" t="s">
        <v>83</v>
      </c>
      <c r="C257" s="29">
        <v>0.99691169546763603</v>
      </c>
      <c r="D257" s="26">
        <v>1.962493054776822E-3</v>
      </c>
      <c r="E257" s="26">
        <v>6.8918937537040521E-4</v>
      </c>
      <c r="F257" s="26">
        <v>1.1319156820458742E-4</v>
      </c>
      <c r="G257" s="26">
        <v>1.2866098819272598E-4</v>
      </c>
    </row>
    <row r="258" spans="2:7" x14ac:dyDescent="0.35">
      <c r="B258" s="9" t="s">
        <v>84</v>
      </c>
      <c r="C258" s="29">
        <v>0.99859888900300031</v>
      </c>
      <c r="D258" s="26">
        <v>4.8591670468989837E-4</v>
      </c>
      <c r="E258" s="26">
        <v>8.210311054066906E-4</v>
      </c>
      <c r="F258" s="26">
        <v>1.6408085137088812E-5</v>
      </c>
      <c r="G258" s="26">
        <v>7.6134521214669447E-5</v>
      </c>
    </row>
    <row r="259" spans="2:7" x14ac:dyDescent="0.35">
      <c r="B259" s="9" t="s">
        <v>85</v>
      </c>
      <c r="C259" s="29">
        <v>0.57862087111005589</v>
      </c>
      <c r="D259" s="26">
        <v>0.30816824427024259</v>
      </c>
      <c r="E259" s="26">
        <v>2.3518721436982432E-2</v>
      </c>
      <c r="F259" s="26">
        <v>1.3913261606803055E-2</v>
      </c>
      <c r="G259" s="26">
        <v>2.5387114906910853E-3</v>
      </c>
    </row>
    <row r="260" spans="2:7" x14ac:dyDescent="0.35">
      <c r="B260" s="9" t="s">
        <v>86</v>
      </c>
      <c r="C260" s="29">
        <v>0.99230586753266858</v>
      </c>
      <c r="D260" s="26">
        <v>6.9492447539194861E-3</v>
      </c>
      <c r="E260" s="26">
        <v>4.7548941951563284E-4</v>
      </c>
      <c r="F260" s="26">
        <v>1.6563126815039456E-4</v>
      </c>
      <c r="G260" s="26">
        <v>1.0151314344407474E-4</v>
      </c>
    </row>
    <row r="261" spans="2:7" x14ac:dyDescent="0.35">
      <c r="B261" s="9" t="s">
        <v>87</v>
      </c>
      <c r="C261" s="29">
        <v>0.98628828782787026</v>
      </c>
      <c r="D261" s="26">
        <v>9.331224996950657E-4</v>
      </c>
      <c r="E261" s="26">
        <v>1.1364696929280287E-2</v>
      </c>
      <c r="F261" s="26">
        <v>1.1835192085260986E-3</v>
      </c>
      <c r="G261" s="26">
        <v>8.1875390901456669E-5</v>
      </c>
    </row>
    <row r="262" spans="2:7" x14ac:dyDescent="0.35">
      <c r="B262" s="9" t="s">
        <v>88</v>
      </c>
      <c r="C262" s="29">
        <v>0.95705489116965003</v>
      </c>
      <c r="D262" s="26">
        <v>3.9389809722942251E-3</v>
      </c>
      <c r="E262" s="26">
        <v>3.7139024048581736E-2</v>
      </c>
      <c r="F262" s="26">
        <v>3.92403133177793E-4</v>
      </c>
      <c r="G262" s="26">
        <v>1.4678111436628076E-3</v>
      </c>
    </row>
    <row r="263" spans="2:7" x14ac:dyDescent="0.35">
      <c r="B263" s="9" t="s">
        <v>89</v>
      </c>
      <c r="C263" s="29">
        <v>0.97809216998211823</v>
      </c>
      <c r="D263" s="26">
        <v>1.6698841105395868E-2</v>
      </c>
      <c r="E263" s="26">
        <v>4.8757190307842222E-4</v>
      </c>
      <c r="F263" s="26">
        <v>1.936595600220454E-3</v>
      </c>
      <c r="G263" s="26">
        <v>2.6117915257640473E-3</v>
      </c>
    </row>
    <row r="264" spans="2:7" x14ac:dyDescent="0.35">
      <c r="B264" s="9" t="s">
        <v>90</v>
      </c>
      <c r="C264" s="29">
        <v>0.99870655185289248</v>
      </c>
      <c r="D264" s="26">
        <v>9.8563492423064448E-4</v>
      </c>
      <c r="E264" s="26">
        <v>2.6041982528395893E-5</v>
      </c>
      <c r="F264" s="26">
        <v>2.0054275603679731E-5</v>
      </c>
      <c r="G264" s="26">
        <v>2.5300241291233979E-4</v>
      </c>
    </row>
    <row r="265" spans="2:7" x14ac:dyDescent="0.35">
      <c r="B265" s="9" t="s">
        <v>91</v>
      </c>
      <c r="C265" s="29">
        <v>0.92617649103559518</v>
      </c>
      <c r="D265" s="26">
        <v>7.0725267671793532E-2</v>
      </c>
      <c r="E265" s="26">
        <v>2.5278925981246899E-3</v>
      </c>
      <c r="F265" s="26">
        <v>1.1677946020000477E-4</v>
      </c>
      <c r="G265" s="26">
        <v>1.6000058701681147E-4</v>
      </c>
    </row>
    <row r="266" spans="2:7" x14ac:dyDescent="0.35">
      <c r="B266" s="9" t="s">
        <v>92</v>
      </c>
      <c r="C266" s="29">
        <v>0.99776757356627499</v>
      </c>
      <c r="D266" s="26">
        <v>1.3087065864117475E-4</v>
      </c>
      <c r="E266" s="26">
        <v>4.9914205795773665E-4</v>
      </c>
      <c r="F266" s="26">
        <v>8.3416515275233776E-6</v>
      </c>
      <c r="G266" s="26">
        <v>1.3821940751831149E-3</v>
      </c>
    </row>
    <row r="267" spans="2:7" x14ac:dyDescent="0.35">
      <c r="B267" s="9" t="s">
        <v>93</v>
      </c>
      <c r="C267" s="29">
        <v>0.98550602009919352</v>
      </c>
      <c r="D267" s="26">
        <v>4.1714460621983014E-6</v>
      </c>
      <c r="E267" s="26">
        <v>7.6574315067838971E-3</v>
      </c>
      <c r="F267" s="26">
        <v>2.0190427944453979E-3</v>
      </c>
      <c r="G267" s="26">
        <v>4.4214351090369674E-3</v>
      </c>
    </row>
    <row r="268" spans="2:7" x14ac:dyDescent="0.35">
      <c r="B268" s="9" t="s">
        <v>94</v>
      </c>
      <c r="C268" s="29">
        <v>0.99424493770903943</v>
      </c>
      <c r="D268" s="26">
        <v>5.2104264573310756E-3</v>
      </c>
      <c r="E268" s="26">
        <v>3.820008630089537E-4</v>
      </c>
      <c r="F268" s="26">
        <v>4.205064895434361E-6</v>
      </c>
      <c r="G268" s="26">
        <v>6.3614550674304717E-5</v>
      </c>
    </row>
    <row r="269" spans="2:7" x14ac:dyDescent="0.35">
      <c r="B269" s="9" t="s">
        <v>95</v>
      </c>
      <c r="C269" s="29">
        <v>0.99691035412436246</v>
      </c>
      <c r="D269" s="26">
        <v>1.8064660357369439E-5</v>
      </c>
      <c r="E269" s="26">
        <v>1.6366756471243455E-4</v>
      </c>
      <c r="F269" s="26">
        <v>2.5523543975852448E-3</v>
      </c>
      <c r="G269" s="26">
        <v>3.4989535579878526E-4</v>
      </c>
    </row>
    <row r="270" spans="2:7" x14ac:dyDescent="0.35">
      <c r="B270" s="9" t="s">
        <v>96</v>
      </c>
      <c r="C270" s="29">
        <v>0.79409832284199455</v>
      </c>
      <c r="D270" s="26">
        <v>3.5964058574146509E-4</v>
      </c>
      <c r="E270" s="26">
        <v>8.985150505506339E-3</v>
      </c>
      <c r="F270" s="26">
        <v>0.12321741468845185</v>
      </c>
      <c r="G270" s="26">
        <v>3.1171940577115274E-2</v>
      </c>
    </row>
    <row r="271" spans="2:7" x14ac:dyDescent="0.35">
      <c r="B271" s="9" t="s">
        <v>97</v>
      </c>
      <c r="C271" s="29">
        <v>0.97457975020715626</v>
      </c>
      <c r="D271" s="26">
        <v>2.2839128026888738E-2</v>
      </c>
      <c r="E271" s="26">
        <v>6.6365589404675819E-8</v>
      </c>
      <c r="F271" s="26">
        <v>1.3361948290027752E-3</v>
      </c>
      <c r="G271" s="26">
        <v>4.0303386631422881E-4</v>
      </c>
    </row>
    <row r="272" spans="2:7" x14ac:dyDescent="0.35">
      <c r="B272" s="9" t="s">
        <v>98</v>
      </c>
      <c r="C272" s="29">
        <v>0.99956339213445711</v>
      </c>
      <c r="D272" s="26">
        <v>6.0040159436849168E-5</v>
      </c>
      <c r="E272" s="26">
        <v>1.5671277822047522E-6</v>
      </c>
      <c r="F272" s="26">
        <v>2.3452759136505938E-4</v>
      </c>
      <c r="G272" s="26">
        <v>1.404313054909931E-4</v>
      </c>
    </row>
    <row r="273" spans="2:7" x14ac:dyDescent="0.35">
      <c r="B273" s="9" t="s">
        <v>99</v>
      </c>
      <c r="C273" s="29">
        <v>0.88956054590482958</v>
      </c>
      <c r="D273" s="26">
        <v>5.068186079798373E-2</v>
      </c>
      <c r="E273" s="26">
        <v>5.0253179174835775E-3</v>
      </c>
      <c r="F273" s="26">
        <v>1.1129954379836601E-2</v>
      </c>
      <c r="G273" s="26">
        <v>7.6906022867497086E-3</v>
      </c>
    </row>
    <row r="274" spans="2:7" x14ac:dyDescent="0.35">
      <c r="B274" s="9" t="s">
        <v>100</v>
      </c>
      <c r="C274" s="29">
        <v>0.99703761783347344</v>
      </c>
      <c r="D274" s="26">
        <v>1.935110964263437E-3</v>
      </c>
      <c r="E274" s="26">
        <v>7.1228228496728724E-4</v>
      </c>
      <c r="F274" s="26">
        <v>1.1874312689521722E-4</v>
      </c>
      <c r="G274" s="26">
        <v>6.1608569245319254E-6</v>
      </c>
    </row>
    <row r="275" spans="2:7" x14ac:dyDescent="0.35">
      <c r="B275" s="9" t="s">
        <v>101</v>
      </c>
      <c r="C275" s="29">
        <v>0.99502145768102501</v>
      </c>
      <c r="D275" s="26">
        <v>2.2085633804121117E-3</v>
      </c>
      <c r="E275" s="26">
        <v>4.0715159724574116E-4</v>
      </c>
      <c r="F275" s="26">
        <v>1.9274171084287905E-3</v>
      </c>
      <c r="G275" s="26">
        <v>3.9469123012408853E-4</v>
      </c>
    </row>
    <row r="276" spans="2:7" x14ac:dyDescent="0.35">
      <c r="B276" s="9" t="s">
        <v>102</v>
      </c>
      <c r="C276" s="29">
        <v>0.55424781061058159</v>
      </c>
      <c r="D276" s="26">
        <v>0.20041420133993174</v>
      </c>
      <c r="E276" s="26">
        <v>9.457763282606188E-2</v>
      </c>
      <c r="F276" s="26">
        <v>3.5918518034999285E-2</v>
      </c>
      <c r="G276" s="26">
        <v>4.1474468562364065E-2</v>
      </c>
    </row>
    <row r="277" spans="2:7" x14ac:dyDescent="0.35">
      <c r="B277" s="9" t="s">
        <v>103</v>
      </c>
      <c r="C277" s="29">
        <v>0.99655488092586153</v>
      </c>
      <c r="D277" s="26">
        <v>7.4141735548696242E-4</v>
      </c>
      <c r="E277" s="26">
        <v>1.4461865609619322E-3</v>
      </c>
      <c r="F277" s="26">
        <v>1.0836560204284201E-3</v>
      </c>
      <c r="G277" s="26">
        <v>1.7181900138189924E-4</v>
      </c>
    </row>
    <row r="278" spans="2:7" x14ac:dyDescent="0.35">
      <c r="B278" s="9" t="s">
        <v>104</v>
      </c>
      <c r="C278" s="29">
        <v>0.99930953979532766</v>
      </c>
      <c r="D278" s="26">
        <v>1.0451839540689748E-4</v>
      </c>
      <c r="E278" s="26">
        <v>5.092059937419211E-4</v>
      </c>
      <c r="F278" s="26">
        <v>3.8504064753559688E-5</v>
      </c>
      <c r="G278" s="26">
        <v>3.7474143703383558E-5</v>
      </c>
    </row>
    <row r="279" spans="2:7" x14ac:dyDescent="0.35">
      <c r="B279" s="9" t="s">
        <v>105</v>
      </c>
      <c r="C279" s="29">
        <v>0.95374573680526775</v>
      </c>
      <c r="D279" s="26">
        <v>2.2466388620058814E-2</v>
      </c>
      <c r="E279" s="26">
        <v>6.5323728457225977E-3</v>
      </c>
      <c r="F279" s="26">
        <v>3.8817795071910514E-3</v>
      </c>
      <c r="G279" s="26">
        <v>7.8117502333640253E-3</v>
      </c>
    </row>
    <row r="280" spans="2:7" x14ac:dyDescent="0.35">
      <c r="B280" s="9" t="s">
        <v>106</v>
      </c>
      <c r="C280" s="29">
        <v>0.99642694174836233</v>
      </c>
      <c r="D280" s="26">
        <v>7.4354127918522281E-4</v>
      </c>
      <c r="E280" s="26">
        <v>7.9400281227471844E-4</v>
      </c>
      <c r="F280" s="26">
        <v>1.8707607063662387E-3</v>
      </c>
      <c r="G280" s="26">
        <v>1.4996460298061657E-6</v>
      </c>
    </row>
    <row r="281" spans="2:7" x14ac:dyDescent="0.35">
      <c r="B281" s="9" t="s">
        <v>107</v>
      </c>
      <c r="C281" s="29">
        <v>0.98750058775414218</v>
      </c>
      <c r="D281" s="26">
        <v>7.266938732158456E-3</v>
      </c>
      <c r="E281" s="26">
        <v>4.8122755075841062E-3</v>
      </c>
      <c r="F281" s="26">
        <v>2.7150540469093355E-4</v>
      </c>
      <c r="G281" s="26">
        <v>8.1208255845985008E-5</v>
      </c>
    </row>
    <row r="282" spans="2:7" ht="15" thickBot="1" x14ac:dyDescent="0.4">
      <c r="B282" s="24" t="s">
        <v>108</v>
      </c>
      <c r="C282" s="30">
        <v>0.98282223757477505</v>
      </c>
      <c r="D282" s="27">
        <v>2.0038845725433821E-3</v>
      </c>
      <c r="E282" s="27">
        <v>6.3637667846259205E-3</v>
      </c>
      <c r="F282" s="27">
        <v>6.8361794732560276E-3</v>
      </c>
      <c r="G282" s="27">
        <v>1.9371901774378126E-3</v>
      </c>
    </row>
    <row r="283" spans="2:7" x14ac:dyDescent="0.35">
      <c r="B283" s="31" t="s">
        <v>113</v>
      </c>
    </row>
  </sheetData>
  <mergeCells count="1">
    <mergeCell ref="B1:L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D462374">
              <controlPr defaultSize="0" autoFill="0" autoPict="0" macro="[0]!GoToResultsNew3007202614230962">
                <anchor moveWithCells="1">
                  <from>
                    <xdr:col>1</xdr:col>
                    <xdr:colOff>6350</xdr:colOff>
                    <xdr:row>9</xdr:row>
                    <xdr:rowOff>0</xdr:rowOff>
                  </from>
                  <to>
                    <xdr:col>5</xdr:col>
                    <xdr:colOff>6350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EDBB-3144-4B34-A039-AFF92B8DD941}">
  <sheetPr codeName="XLSTAT_20260730_142236_1_HID1"/>
  <dimension ref="A1:D29"/>
  <sheetViews>
    <sheetView workbookViewId="0">
      <selection activeCell="C1" sqref="C1"/>
    </sheetView>
  </sheetViews>
  <sheetFormatPr defaultRowHeight="14.5" x14ac:dyDescent="0.35"/>
  <sheetData>
    <row r="1" spans="1:4" x14ac:dyDescent="0.35">
      <c r="A1">
        <v>0.408805214705043</v>
      </c>
      <c r="B1">
        <v>0.24462429237417577</v>
      </c>
      <c r="C1">
        <v>-2.2686060756216011</v>
      </c>
      <c r="D1">
        <v>-0.23829185865210384</v>
      </c>
    </row>
    <row r="2" spans="1:4" x14ac:dyDescent="0.35">
      <c r="A2">
        <v>0.40758118592293852</v>
      </c>
      <c r="B2">
        <v>0.53185432173520375</v>
      </c>
      <c r="C2">
        <v>1.9280870655530995</v>
      </c>
      <c r="D2">
        <v>0.27111189586233947</v>
      </c>
    </row>
    <row r="3" spans="1:4" x14ac:dyDescent="0.35">
      <c r="A3">
        <v>0.40870886228445852</v>
      </c>
      <c r="B3">
        <v>-1.4967076545426589E-3</v>
      </c>
      <c r="C3">
        <v>0.85089059308301362</v>
      </c>
      <c r="D3">
        <v>0.17736445544140217</v>
      </c>
    </row>
    <row r="4" spans="1:4" x14ac:dyDescent="0.35">
      <c r="A4">
        <v>-0.40845958528663856</v>
      </c>
      <c r="B4">
        <v>0.44547951931744262</v>
      </c>
      <c r="C4">
        <v>-3.1262674445555669</v>
      </c>
      <c r="D4">
        <v>0.13870810764497971</v>
      </c>
    </row>
    <row r="5" spans="1:4" x14ac:dyDescent="0.35">
      <c r="A5">
        <v>0.40857823919305325</v>
      </c>
      <c r="B5">
        <v>0.28444609889155259</v>
      </c>
      <c r="C5">
        <v>3.6718074151163944</v>
      </c>
      <c r="D5">
        <v>8.099631672412623E-2</v>
      </c>
    </row>
    <row r="6" spans="1:4" x14ac:dyDescent="0.35">
      <c r="A6">
        <v>-0.40735430382792037</v>
      </c>
      <c r="B6">
        <v>0.61475695245543538</v>
      </c>
      <c r="C6">
        <v>-0.21115900496744042</v>
      </c>
      <c r="D6">
        <v>-0.15410137061975526</v>
      </c>
    </row>
    <row r="7" spans="1:4" x14ac:dyDescent="0.35">
      <c r="C7">
        <v>-4.1818684146016682</v>
      </c>
      <c r="D7">
        <v>0.34995837204325353</v>
      </c>
    </row>
    <row r="8" spans="1:4" x14ac:dyDescent="0.35">
      <c r="C8">
        <v>2.2734649600401542</v>
      </c>
      <c r="D8">
        <v>-6.9928732703536875E-2</v>
      </c>
    </row>
    <row r="9" spans="1:4" x14ac:dyDescent="0.35">
      <c r="C9">
        <v>0.94529086564530873</v>
      </c>
      <c r="D9">
        <v>-6.0644159206786188E-2</v>
      </c>
    </row>
    <row r="10" spans="1:4" x14ac:dyDescent="0.35">
      <c r="C10">
        <v>-1.6597400942470728</v>
      </c>
      <c r="D10">
        <v>-0.21686694438407525</v>
      </c>
    </row>
    <row r="11" spans="1:4" x14ac:dyDescent="0.35">
      <c r="C11">
        <v>3.0583215588358073</v>
      </c>
      <c r="D11">
        <v>9.6077620466778674E-2</v>
      </c>
    </row>
    <row r="12" spans="1:4" x14ac:dyDescent="0.35">
      <c r="C12">
        <v>-1.1018378605028256</v>
      </c>
      <c r="D12">
        <v>-0.30447953976794423</v>
      </c>
    </row>
    <row r="13" spans="1:4" x14ac:dyDescent="0.35">
      <c r="C13">
        <v>-2.65513756685078</v>
      </c>
      <c r="D13">
        <v>3.0408393644733623E-2</v>
      </c>
    </row>
    <row r="14" spans="1:4" x14ac:dyDescent="0.35">
      <c r="C14">
        <v>1.6936137426048952</v>
      </c>
      <c r="D14">
        <v>-3.4844003161906478E-3</v>
      </c>
    </row>
    <row r="15" spans="1:4" x14ac:dyDescent="0.35">
      <c r="C15">
        <v>-3.6239661808574204</v>
      </c>
      <c r="D15">
        <v>0.26234577665938408</v>
      </c>
    </row>
    <row r="16" spans="1:4" x14ac:dyDescent="0.35">
      <c r="C16">
        <v>2.8632810407144142</v>
      </c>
      <c r="D16">
        <v>-1.2188515797004893E-2</v>
      </c>
    </row>
    <row r="17" spans="3:4" x14ac:dyDescent="0.35">
      <c r="C17">
        <v>0.28618625006738613</v>
      </c>
      <c r="D17">
        <v>6.0904021885281939E-3</v>
      </c>
    </row>
    <row r="18" spans="3:4" x14ac:dyDescent="0.35">
      <c r="C18">
        <v>-1.6551202193410168</v>
      </c>
      <c r="D18">
        <v>-0.25337316239475643</v>
      </c>
    </row>
    <row r="19" spans="3:4" x14ac:dyDescent="0.35">
      <c r="C19">
        <v>3.5560202951376616</v>
      </c>
      <c r="D19">
        <v>-2.7560048547625764E-2</v>
      </c>
    </row>
    <row r="20" spans="3:4" x14ac:dyDescent="0.35">
      <c r="C20">
        <v>-0.60449260546799877</v>
      </c>
      <c r="D20">
        <v>-0.14428776695966092</v>
      </c>
    </row>
    <row r="21" spans="3:4" x14ac:dyDescent="0.35">
      <c r="C21">
        <v>-3.8455755575758834</v>
      </c>
      <c r="D21">
        <v>0.16941759540975893</v>
      </c>
    </row>
    <row r="22" spans="3:4" x14ac:dyDescent="0.35">
      <c r="C22">
        <v>2.3655823044125599</v>
      </c>
      <c r="D22">
        <v>0.11144915321739968</v>
      </c>
    </row>
    <row r="23" spans="3:4" x14ac:dyDescent="0.35">
      <c r="C23">
        <v>0.17039913008865493</v>
      </c>
      <c r="D23">
        <v>-0.10246596308322357</v>
      </c>
    </row>
    <row r="24" spans="3:4" x14ac:dyDescent="0.35">
      <c r="C24">
        <v>-2.0972353331065334</v>
      </c>
      <c r="D24">
        <v>-5.7204201739135541E-2</v>
      </c>
    </row>
    <row r="25" spans="3:4" x14ac:dyDescent="0.35">
      <c r="C25">
        <v>4.169506151418247</v>
      </c>
      <c r="D25">
        <v>-4.264135229027826E-2</v>
      </c>
    </row>
    <row r="26" spans="3:4" x14ac:dyDescent="0.35">
      <c r="C26">
        <v>-0.90389825939068902</v>
      </c>
      <c r="D26">
        <v>-0.13872983786913434</v>
      </c>
    </row>
    <row r="27" spans="3:4" x14ac:dyDescent="0.35">
      <c r="C27">
        <v>-2.8501780849721747</v>
      </c>
      <c r="D27">
        <v>-7.7857742619050138E-2</v>
      </c>
    </row>
    <row r="28" spans="3:4" x14ac:dyDescent="0.35">
      <c r="C28">
        <v>1.8915533437170318</v>
      </c>
      <c r="D28">
        <v>0.16226530158261929</v>
      </c>
    </row>
    <row r="29" spans="3:4" x14ac:dyDescent="0.35">
      <c r="C29">
        <v>1.0610779856240398</v>
      </c>
      <c r="D29">
        <v>4.7912206064965546E-2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9640-1B5F-424E-B9DB-0633D4A9F0E0}">
  <sheetPr codeName="XLSTAT_20260730_142236_1_HID"/>
  <dimension ref="A1:B29"/>
  <sheetViews>
    <sheetView workbookViewId="0"/>
  </sheetViews>
  <sheetFormatPr defaultRowHeight="14.5" x14ac:dyDescent="0.35"/>
  <sheetData>
    <row r="1" spans="1:2" x14ac:dyDescent="0.35">
      <c r="A1">
        <v>-2.2686060756216011</v>
      </c>
      <c r="B1">
        <v>-0.23829185865210384</v>
      </c>
    </row>
    <row r="2" spans="1:2" x14ac:dyDescent="0.35">
      <c r="A2">
        <v>1.9280870655530995</v>
      </c>
      <c r="B2">
        <v>0.27111189586233947</v>
      </c>
    </row>
    <row r="3" spans="1:2" x14ac:dyDescent="0.35">
      <c r="A3">
        <v>0.85089059308301362</v>
      </c>
      <c r="B3">
        <v>0.17736445544140217</v>
      </c>
    </row>
    <row r="4" spans="1:2" x14ac:dyDescent="0.35">
      <c r="A4">
        <v>-3.1262674445555669</v>
      </c>
      <c r="B4">
        <v>0.13870810764497971</v>
      </c>
    </row>
    <row r="5" spans="1:2" x14ac:dyDescent="0.35">
      <c r="A5">
        <v>3.6718074151163944</v>
      </c>
      <c r="B5">
        <v>8.099631672412623E-2</v>
      </c>
    </row>
    <row r="6" spans="1:2" x14ac:dyDescent="0.35">
      <c r="A6">
        <v>-0.21115900496744042</v>
      </c>
      <c r="B6">
        <v>-0.15410137061975526</v>
      </c>
    </row>
    <row r="7" spans="1:2" x14ac:dyDescent="0.35">
      <c r="A7">
        <v>-4.1818684146016682</v>
      </c>
      <c r="B7">
        <v>0.34995837204325353</v>
      </c>
    </row>
    <row r="8" spans="1:2" x14ac:dyDescent="0.35">
      <c r="A8">
        <v>2.2734649600401542</v>
      </c>
      <c r="B8">
        <v>-6.9928732703536875E-2</v>
      </c>
    </row>
    <row r="9" spans="1:2" x14ac:dyDescent="0.35">
      <c r="A9">
        <v>0.94529086564530873</v>
      </c>
      <c r="B9">
        <v>-6.0644159206786188E-2</v>
      </c>
    </row>
    <row r="10" spans="1:2" x14ac:dyDescent="0.35">
      <c r="A10">
        <v>-1.6597400942470728</v>
      </c>
      <c r="B10">
        <v>-0.21686694438407525</v>
      </c>
    </row>
    <row r="11" spans="1:2" x14ac:dyDescent="0.35">
      <c r="A11">
        <v>3.0583215588358073</v>
      </c>
      <c r="B11">
        <v>9.6077620466778674E-2</v>
      </c>
    </row>
    <row r="12" spans="1:2" x14ac:dyDescent="0.35">
      <c r="A12">
        <v>-1.1018378605028256</v>
      </c>
      <c r="B12">
        <v>-0.30447953976794423</v>
      </c>
    </row>
    <row r="13" spans="1:2" x14ac:dyDescent="0.35">
      <c r="A13">
        <v>-2.65513756685078</v>
      </c>
      <c r="B13">
        <v>3.0408393644733623E-2</v>
      </c>
    </row>
    <row r="14" spans="1:2" x14ac:dyDescent="0.35">
      <c r="A14">
        <v>1.6936137426048952</v>
      </c>
      <c r="B14">
        <v>-3.4844003161906478E-3</v>
      </c>
    </row>
    <row r="15" spans="1:2" x14ac:dyDescent="0.35">
      <c r="A15">
        <v>-3.6239661808574204</v>
      </c>
      <c r="B15">
        <v>0.26234577665938408</v>
      </c>
    </row>
    <row r="16" spans="1:2" x14ac:dyDescent="0.35">
      <c r="A16">
        <v>2.8632810407144142</v>
      </c>
      <c r="B16">
        <v>-1.2188515797004893E-2</v>
      </c>
    </row>
    <row r="17" spans="1:2" x14ac:dyDescent="0.35">
      <c r="A17">
        <v>0.28618625006738613</v>
      </c>
      <c r="B17">
        <v>6.0904021885281939E-3</v>
      </c>
    </row>
    <row r="18" spans="1:2" x14ac:dyDescent="0.35">
      <c r="A18">
        <v>-1.6551202193410168</v>
      </c>
      <c r="B18">
        <v>-0.25337316239475643</v>
      </c>
    </row>
    <row r="19" spans="1:2" x14ac:dyDescent="0.35">
      <c r="A19">
        <v>3.5560202951376616</v>
      </c>
      <c r="B19">
        <v>-2.7560048547625764E-2</v>
      </c>
    </row>
    <row r="20" spans="1:2" x14ac:dyDescent="0.35">
      <c r="A20">
        <v>-0.60449260546799877</v>
      </c>
      <c r="B20">
        <v>-0.14428776695966092</v>
      </c>
    </row>
    <row r="21" spans="1:2" x14ac:dyDescent="0.35">
      <c r="A21">
        <v>-3.8455755575758834</v>
      </c>
      <c r="B21">
        <v>0.16941759540975893</v>
      </c>
    </row>
    <row r="22" spans="1:2" x14ac:dyDescent="0.35">
      <c r="A22">
        <v>2.3655823044125599</v>
      </c>
      <c r="B22">
        <v>0.11144915321739968</v>
      </c>
    </row>
    <row r="23" spans="1:2" x14ac:dyDescent="0.35">
      <c r="A23">
        <v>0.17039913008865493</v>
      </c>
      <c r="B23">
        <v>-0.10246596308322357</v>
      </c>
    </row>
    <row r="24" spans="1:2" x14ac:dyDescent="0.35">
      <c r="A24">
        <v>-2.0972353331065334</v>
      </c>
      <c r="B24">
        <v>-5.7204201739135541E-2</v>
      </c>
    </row>
    <row r="25" spans="1:2" x14ac:dyDescent="0.35">
      <c r="A25">
        <v>4.169506151418247</v>
      </c>
      <c r="B25">
        <v>-4.264135229027826E-2</v>
      </c>
    </row>
    <row r="26" spans="1:2" x14ac:dyDescent="0.35">
      <c r="A26">
        <v>-0.90389825939068902</v>
      </c>
      <c r="B26">
        <v>-0.13872983786913434</v>
      </c>
    </row>
    <row r="27" spans="1:2" x14ac:dyDescent="0.35">
      <c r="A27">
        <v>-2.8501780849721747</v>
      </c>
      <c r="B27">
        <v>-7.7857742619050138E-2</v>
      </c>
    </row>
    <row r="28" spans="1:2" x14ac:dyDescent="0.35">
      <c r="A28">
        <v>1.8915533437170318</v>
      </c>
      <c r="B28">
        <v>0.16226530158261929</v>
      </c>
    </row>
    <row r="29" spans="1:2" x14ac:dyDescent="0.35">
      <c r="A29">
        <v>1.0610779856240398</v>
      </c>
      <c r="B29">
        <v>4.7912206064965546E-2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PCA</vt:lpstr>
      <vt:lpstr>XLSTAT_20260730_142236_1_HID1</vt:lpstr>
      <vt:lpstr>XLSTAT_20260730_142236_1_HID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Dhanika S</dc:creator>
  <cp:lastModifiedBy>Dhanika S</cp:lastModifiedBy>
  <dcterms:created xsi:type="dcterms:W3CDTF">2026-07-30T08:26:28Z</dcterms:created>
  <dcterms:modified xsi:type="dcterms:W3CDTF">2026-07-30T09:16:54Z</dcterms:modified>
</cp:coreProperties>
</file>